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kama karma\nidhidyasana\Paytm-FinTech-Analytics-AI-Platform\payments_fraud_analytics\"/>
    </mc:Choice>
  </mc:AlternateContent>
  <xr:revisionPtr revIDLastSave="0" documentId="13_ncr:1_{F4448124-DC96-4B94-BD65-4ABE88FC8A4B}" xr6:coauthVersionLast="47" xr6:coauthVersionMax="47" xr10:uidLastSave="{00000000-0000-0000-0000-000000000000}"/>
  <bookViews>
    <workbookView xWindow="3384" yWindow="1500" windowWidth="16776" windowHeight="10740" xr2:uid="{58C30711-CDBF-4E0C-9665-D9EAF6FD8067}"/>
  </bookViews>
  <sheets>
    <sheet name="transactions-views" sheetId="1" r:id="rId1"/>
    <sheet name="Fees" sheetId="4" r:id="rId2"/>
    <sheet name="merchant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K2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</calcChain>
</file>

<file path=xl/sharedStrings.xml><?xml version="1.0" encoding="utf-8"?>
<sst xmlns="http://schemas.openxmlformats.org/spreadsheetml/2006/main" count="1783" uniqueCount="619">
  <si>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</si>
  <si>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</si>
  <si>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</si>
  <si>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</si>
  <si>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</si>
  <si>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</si>
  <si>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</si>
  <si>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</si>
  <si>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</si>
  <si>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</si>
  <si>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</si>
  <si>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</si>
  <si>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</si>
  <si>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</si>
  <si>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</si>
  <si>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</si>
  <si>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</si>
  <si>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</si>
  <si>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</si>
  <si>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</si>
  <si>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</si>
  <si>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</si>
  <si>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</si>
  <si>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</si>
  <si>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</si>
  <si>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</si>
  <si>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</si>
  <si>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</si>
  <si>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</si>
  <si>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</si>
  <si>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</si>
  <si>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</si>
  <si>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</si>
  <si>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</si>
  <si>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</si>
  <si>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</si>
  <si>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</si>
  <si>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</si>
  <si>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</si>
  <si>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</si>
  <si>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</si>
  <si>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</si>
  <si>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</si>
  <si>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</si>
  <si>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</si>
  <si>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</si>
  <si>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</si>
  <si>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</si>
  <si>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</si>
  <si>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</si>
  <si>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</si>
  <si>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</si>
  <si>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</si>
  <si>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</si>
  <si>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</si>
  <si>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</si>
  <si>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</si>
  <si>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</si>
  <si>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</si>
  <si>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</si>
  <si>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</si>
  <si>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</si>
  <si>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</si>
  <si>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</si>
  <si>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</si>
  <si>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</si>
  <si>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</si>
  <si>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</si>
  <si>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</si>
  <si>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</si>
  <si>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</si>
  <si>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</si>
  <si>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</si>
  <si>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</si>
  <si>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</si>
  <si>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</si>
  <si>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</si>
  <si>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</si>
  <si>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</si>
  <si>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</si>
  <si>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</si>
  <si>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</si>
  <si>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</si>
  <si>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</si>
  <si>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</si>
  <si>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</si>
  <si>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</si>
  <si>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</si>
  <si>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</si>
  <si>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</si>
  <si>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</si>
  <si>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</si>
  <si>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</si>
  <si>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</si>
  <si>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</si>
  <si>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</si>
  <si>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</si>
  <si>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</si>
  <si>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</si>
  <si>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</si>
  <si>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</si>
  <si>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</si>
  <si>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</si>
  <si>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</si>
  <si>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</si>
  <si>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</si>
  <si>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</si>
  <si>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</si>
  <si>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</si>
  <si>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</si>
  <si>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</si>
  <si>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</si>
  <si>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</si>
  <si>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</si>
  <si>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</si>
  <si>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</si>
  <si>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</si>
  <si>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</si>
  <si>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</si>
  <si>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</si>
  <si>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</si>
  <si>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</si>
  <si>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</si>
  <si>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</si>
  <si>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</si>
  <si>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</si>
  <si>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</si>
  <si>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</si>
  <si>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</si>
  <si>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</si>
  <si>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</si>
  <si>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</si>
  <si>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</si>
  <si>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</si>
  <si>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</si>
  <si>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</si>
  <si>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</si>
  <si>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</si>
  <si>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</si>
  <si>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</si>
  <si>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</si>
  <si>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</si>
  <si>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</si>
  <si>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</si>
  <si>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</si>
  <si>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</si>
  <si>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</si>
  <si>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</si>
  <si>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</si>
  <si>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</si>
  <si>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</si>
  <si>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</si>
  <si>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</si>
  <si>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</si>
  <si>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</si>
  <si>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</si>
  <si>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</si>
  <si>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</si>
  <si>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</si>
  <si>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</si>
  <si>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</si>
  <si>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</si>
  <si>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</si>
  <si>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</si>
  <si>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</si>
  <si>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</si>
  <si>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</si>
  <si>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</si>
  <si>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</si>
  <si>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</si>
  <si>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</si>
  <si>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</si>
  <si>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</si>
  <si>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</si>
  <si>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</si>
  <si>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</si>
  <si>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</si>
  <si>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</si>
  <si>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</si>
  <si>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</si>
  <si>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</si>
  <si>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</si>
  <si>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</si>
  <si>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</si>
  <si>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</si>
  <si>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</si>
  <si>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</si>
  <si>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</si>
  <si>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</si>
  <si>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</si>
  <si>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</si>
  <si>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</si>
  <si>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</si>
  <si>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</si>
  <si>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</si>
  <si>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</si>
  <si>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</si>
  <si>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</si>
  <si>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</si>
  <si>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</si>
  <si>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</si>
  <si>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</si>
  <si>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</si>
  <si>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</si>
  <si>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</si>
  <si>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</si>
  <si>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</si>
  <si>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</si>
  <si>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</si>
  <si>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</si>
  <si>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</si>
  <si>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</si>
  <si>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</si>
  <si>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</si>
  <si>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</si>
  <si>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</si>
  <si>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</si>
  <si>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</si>
  <si>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</si>
  <si>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</si>
  <si>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</si>
  <si>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</si>
  <si>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</si>
  <si>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</si>
  <si>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</si>
  <si>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</si>
  <si>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</si>
  <si>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</si>
  <si>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</si>
  <si>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</si>
  <si>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</si>
  <si>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</si>
  <si>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</si>
  <si>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</si>
  <si>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</si>
  <si>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</si>
  <si>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</si>
  <si>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</si>
  <si>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</si>
  <si>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</si>
  <si>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</si>
  <si>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</si>
  <si>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</si>
  <si>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</si>
  <si>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</si>
  <si>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</si>
  <si>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</si>
  <si>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</si>
  <si>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</si>
  <si>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</si>
  <si>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</si>
  <si>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</si>
  <si>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</si>
  <si>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</si>
  <si>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</si>
  <si>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</si>
  <si>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</si>
  <si>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</si>
  <si>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</si>
  <si>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</si>
  <si>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</si>
  <si>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</si>
  <si>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</si>
  <si>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</si>
  <si>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</si>
  <si>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</si>
  <si>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</si>
  <si>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</si>
  <si>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</si>
  <si>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</si>
  <si>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</si>
  <si>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</si>
  <si>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</si>
  <si>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</si>
  <si>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</si>
  <si>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</si>
  <si>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</si>
  <si>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</si>
  <si>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</si>
  <si>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</si>
  <si>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</si>
  <si>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</si>
  <si>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</si>
  <si>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</si>
  <si>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</si>
  <si>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</si>
  <si>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</si>
  <si>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</si>
  <si>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</si>
  <si>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</si>
  <si>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</si>
  <si>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</si>
  <si>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</si>
  <si>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</si>
  <si>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</si>
  <si>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</si>
  <si>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</si>
  <si>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</si>
  <si>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</si>
  <si>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</si>
  <si>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</si>
  <si>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</si>
  <si>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</si>
  <si>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</si>
  <si>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</si>
  <si>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</si>
  <si>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</si>
  <si>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</si>
  <si>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</si>
  <si>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</si>
  <si>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</si>
  <si>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</si>
  <si>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</si>
  <si>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</si>
  <si>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</si>
  <si>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</si>
  <si>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</si>
  <si>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</si>
  <si>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</si>
  <si>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</si>
  <si>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</si>
  <si>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</si>
  <si>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</si>
  <si>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</si>
  <si>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</si>
  <si>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</si>
  <si>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</si>
  <si>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</si>
  <si>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</si>
  <si>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</si>
  <si>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</si>
  <si>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</si>
  <si>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</si>
  <si>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</si>
  <si>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</si>
  <si>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</si>
  <si>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</si>
  <si>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</si>
  <si>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</si>
  <si>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</si>
  <si>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</si>
  <si>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</si>
  <si>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</si>
  <si>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</si>
  <si>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</si>
  <si>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</si>
  <si>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</si>
  <si>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</si>
  <si>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</si>
  <si>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</si>
  <si>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</si>
  <si>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</si>
  <si>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</si>
  <si>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</si>
  <si>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</si>
  <si>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</si>
  <si>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</si>
  <si>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</si>
  <si>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</si>
  <si>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</si>
  <si>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</si>
  <si>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</si>
  <si>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</si>
  <si>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</si>
  <si>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</si>
  <si>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</si>
  <si>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</si>
  <si>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</si>
  <si>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</si>
  <si>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</si>
  <si>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</si>
  <si>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</si>
  <si>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</si>
  <si>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</si>
  <si>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</si>
  <si>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</si>
  <si>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</si>
  <si>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</si>
  <si>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</si>
  <si>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</si>
  <si>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</si>
  <si>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</si>
  <si>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</si>
  <si>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</si>
  <si>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</si>
  <si>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</si>
  <si>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</si>
  <si>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</si>
  <si>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</si>
  <si>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</si>
  <si>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</si>
  <si>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</si>
  <si>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</si>
  <si>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</si>
  <si>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</si>
  <si>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</si>
  <si>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</si>
  <si>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</si>
  <si>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</si>
  <si>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</si>
  <si>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</si>
  <si>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</si>
  <si>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</si>
  <si>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</si>
  <si>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</si>
  <si>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</si>
  <si>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</si>
  <si>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</si>
  <si>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</si>
  <si>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</si>
  <si>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</si>
  <si>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</si>
  <si>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</si>
  <si>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</si>
  <si>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</si>
  <si>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</si>
  <si>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</si>
  <si>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</si>
  <si>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</si>
  <si>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</si>
  <si>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</si>
  <si>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</si>
  <si>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</si>
  <si>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</si>
  <si>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</si>
  <si>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</si>
  <si>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</si>
  <si>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</si>
  <si>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</si>
  <si>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</si>
  <si>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</si>
  <si>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</si>
  <si>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</si>
  <si>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</si>
  <si>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</si>
  <si>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</si>
  <si>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</si>
  <si>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</si>
  <si>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</si>
  <si>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</si>
  <si>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</si>
  <si>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</si>
  <si>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</si>
  <si>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</si>
  <si>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</si>
  <si>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</si>
  <si>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</si>
  <si>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</si>
  <si>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</si>
  <si>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</si>
  <si>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</si>
  <si>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</si>
  <si>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</si>
  <si>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</si>
  <si>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</si>
  <si>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</si>
  <si>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</si>
  <si>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</si>
  <si>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</si>
  <si>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</si>
  <si>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</si>
  <si>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</si>
  <si>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</si>
  <si>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</si>
  <si>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</si>
  <si>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</si>
  <si>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</si>
  <si>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</si>
  <si>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</si>
  <si>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</si>
  <si>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</si>
  <si>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</si>
  <si>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</si>
  <si>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</si>
  <si>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</si>
  <si>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</si>
  <si>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</si>
  <si>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</si>
  <si>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</si>
  <si>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</si>
  <si>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</si>
  <si>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</si>
  <si>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</si>
  <si>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</si>
  <si>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</si>
  <si>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</si>
  <si>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</si>
  <si>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</si>
  <si>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</si>
  <si>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</si>
  <si>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</si>
  <si>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</si>
  <si>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</si>
  <si>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</si>
  <si>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</si>
  <si>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</si>
  <si>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</si>
  <si>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</si>
  <si>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</si>
  <si>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</si>
  <si>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</si>
  <si>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</si>
  <si>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</si>
  <si>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</si>
  <si>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</si>
  <si>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</si>
  <si>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</si>
  <si>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</si>
  <si>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</si>
  <si>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</si>
  <si>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</si>
  <si>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</si>
  <si>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</si>
  <si>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</si>
  <si>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</si>
  <si>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</si>
  <si>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</si>
  <si>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</si>
  <si>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</si>
  <si>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</si>
  <si>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</si>
  <si>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</si>
  <si>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</si>
  <si>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</si>
  <si>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</si>
  <si>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</si>
  <si>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</si>
  <si>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</si>
  <si>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</si>
  <si>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</si>
  <si>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</si>
  <si>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</si>
  <si>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</si>
  <si>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</si>
  <si>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</si>
  <si>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</si>
  <si>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</si>
  <si>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</si>
  <si>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</si>
  <si>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</si>
  <si>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</si>
  <si>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</si>
  <si>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</si>
  <si>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</si>
  <si>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</si>
  <si>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</si>
  <si>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</si>
  <si>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</si>
  <si>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</si>
  <si>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</si>
  <si>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</si>
  <si>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</si>
  <si>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</si>
  <si>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</si>
  <si>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</si>
  <si>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</si>
  <si>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</si>
  <si>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</si>
  <si>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</si>
  <si>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</si>
  <si>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</si>
  <si>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</si>
  <si>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</si>
  <si>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</si>
  <si>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</si>
  <si>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</si>
  <si>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</si>
  <si>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</si>
  <si>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</si>
  <si>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</si>
  <si>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</si>
  <si>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</si>
  <si>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</si>
  <si>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</si>
  <si>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</si>
  <si>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</si>
  <si>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</si>
  <si>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</si>
  <si>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</si>
  <si>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</si>
  <si>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</si>
  <si>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</si>
  <si>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</si>
  <si>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</si>
  <si>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</si>
  <si>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</si>
  <si>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</si>
  <si>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</si>
  <si>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</si>
  <si>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</si>
  <si>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</si>
  <si>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</si>
  <si>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</si>
  <si>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</si>
  <si>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</si>
  <si>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</si>
  <si>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</si>
  <si>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</si>
  <si>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</si>
  <si>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</si>
  <si>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</si>
  <si>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</si>
  <si>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</si>
  <si>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</si>
  <si>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</si>
  <si>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</si>
  <si>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</si>
  <si>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</si>
  <si>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</si>
  <si>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</si>
  <si>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</si>
  <si>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</si>
  <si>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</si>
  <si>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</si>
  <si>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</si>
  <si>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</si>
  <si>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 xml:space="preserve">category </t>
  </si>
  <si>
    <t>payment method</t>
  </si>
  <si>
    <t>fee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</si>
</sst>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7CE633-B271-4D05-B434-8C8ADA55872D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l5ojnf5Hog3U-2Xj6uFP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FBCC-3309-4D0A-9D97-A52A14B1BF41}">
  <dimension ref="A1:L548"/>
  <sheetViews>
    <sheetView tabSelected="1" workbookViewId="0">
      <selection activeCell="L5" sqref="L5"/>
    </sheetView>
  </sheetViews>
  <sheetFormatPr defaultRowHeight="14.4" x14ac:dyDescent="0.3"/>
  <cols>
    <col min="1" max="1" width="12.6640625" bestFit="1" customWidth="1"/>
    <col min="2" max="2" width="6.88671875" bestFit="1" customWidth="1"/>
    <col min="3" max="3" width="11.21875" bestFit="1" customWidth="1"/>
    <col min="4" max="4" width="15.44140625" bestFit="1" customWidth="1"/>
    <col min="5" max="5" width="10.44140625" bestFit="1" customWidth="1"/>
    <col min="6" max="6" width="15.5546875" bestFit="1" customWidth="1"/>
    <col min="7" max="7" width="10.21875" bestFit="1" customWidth="1"/>
    <col min="8" max="8" width="9.21875" bestFit="1" customWidth="1"/>
    <col min="9" max="10" width="17.5546875" bestFit="1" customWidth="1"/>
    <col min="12" max="12" width="13.33203125" style="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562</v>
      </c>
      <c r="J1" t="s">
        <v>616</v>
      </c>
      <c r="K1" t="s">
        <v>564</v>
      </c>
      <c r="L1" s="2" t="s">
        <v>618</v>
      </c>
    </row>
    <row r="2" spans="1:12" x14ac:dyDescent="0.3">
      <c r="A2" t="s">
        <v>8</v>
      </c>
      <c r="B2">
        <v>350</v>
      </c>
      <c r="C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  <c r="I2" t="str">
        <f>_xlfn.IFNA(VLOOKUP(C2,merchants!$A$2:$D$41,2,FALSE),"Merchant not found")</f>
        <v>Merchant_016</v>
      </c>
      <c r="J2" t="str">
        <f>_xlfn.IFNA(VLOOKUP(C2,merchants!$A$2:$D$41,3,FALSE),"Merchant not found")</f>
        <v>bill_payment</v>
      </c>
      <c r="K2" t="str">
        <f>_xlfn.IFNA(VLOOKUP(C2,merchants!$A$2:$D$41,4,FALSE),"Merchant not found")</f>
        <v>West</v>
      </c>
      <c r="L2" s="2">
        <f>HLOOKUP(F2,Fees!$B$1:$E$2,2,FALSE)</f>
        <v>1.4999999999999999E-2</v>
      </c>
    </row>
    <row r="3" spans="1:12" x14ac:dyDescent="0.3">
      <c r="A3" t="s">
        <v>11</v>
      </c>
      <c r="B3">
        <v>287</v>
      </c>
      <c r="C3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  <c r="I3" t="str">
        <f>_xlfn.IFNA(VLOOKUP(C3,merchants!$A$2:$D$41,2,FALSE),"Merchant not found")</f>
        <v>Merchant_027</v>
      </c>
      <c r="J3" t="str">
        <f>_xlfn.IFNA(VLOOKUP(C3,merchants!$A$2:$D$41,3,FALSE),"Merchant not found")</f>
        <v>ecommerce</v>
      </c>
      <c r="K3" t="str">
        <f>_xlfn.IFNA(VLOOKUP(C3,merchants!$A$2:$D$41,4,FALSE),"Merchant not found")</f>
        <v>North</v>
      </c>
      <c r="L3" s="2">
        <f>HLOOKUP(F3,Fees!$B$1:$E$2,2,FALSE)</f>
        <v>0</v>
      </c>
    </row>
    <row r="4" spans="1:12" x14ac:dyDescent="0.3">
      <c r="A4" t="s">
        <v>13</v>
      </c>
      <c r="B4">
        <v>122</v>
      </c>
      <c r="C4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  <c r="I4" t="str">
        <f>_xlfn.IFNA(VLOOKUP(C4,merchants!$A$2:$D$41,2,FALSE),"Merchant not found")</f>
        <v>Merchant_011</v>
      </c>
      <c r="J4" t="str">
        <f>_xlfn.IFNA(VLOOKUP(C4,merchants!$A$2:$D$41,3,FALSE),"Merchant not found")</f>
        <v>ecommerce</v>
      </c>
      <c r="K4" t="str">
        <f>_xlfn.IFNA(VLOOKUP(C4,merchants!$A$2:$D$41,4,FALSE),"Merchant not found")</f>
        <v>North</v>
      </c>
      <c r="L4" s="2">
        <f>HLOOKUP(F4,Fees!$B$1:$E$2,2,FALSE)</f>
        <v>1.4999999999999999E-2</v>
      </c>
    </row>
    <row r="5" spans="1:12" x14ac:dyDescent="0.3">
      <c r="A5" t="s">
        <v>14</v>
      </c>
      <c r="B5">
        <v>92</v>
      </c>
      <c r="C5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  <c r="I5" t="str">
        <f>_xlfn.IFNA(VLOOKUP(C5,merchants!$A$2:$D$41,2,FALSE),"Merchant not found")</f>
        <v>Merchant_022</v>
      </c>
      <c r="J5" t="str">
        <f>_xlfn.IFNA(VLOOKUP(C5,merchants!$A$2:$D$41,3,FALSE),"Merchant not found")</f>
        <v>travel</v>
      </c>
      <c r="K5" t="str">
        <f>_xlfn.IFNA(VLOOKUP(C5,merchants!$A$2:$D$41,4,FALSE),"Merchant not found")</f>
        <v>South</v>
      </c>
      <c r="L5" s="2">
        <f>HLOOKUP(F5,Fees!$B$1:$E$2,2,FALSE)</f>
        <v>0.01</v>
      </c>
    </row>
    <row r="6" spans="1:12" x14ac:dyDescent="0.3">
      <c r="A6" t="s">
        <v>16</v>
      </c>
      <c r="B6">
        <v>343</v>
      </c>
      <c r="C6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  <c r="I6" t="str">
        <f>_xlfn.IFNA(VLOOKUP(C6,merchants!$A$2:$D$41,2,FALSE),"Merchant not found")</f>
        <v>Merchant_016</v>
      </c>
      <c r="J6" t="str">
        <f>_xlfn.IFNA(VLOOKUP(C6,merchants!$A$2:$D$41,3,FALSE),"Merchant not found")</f>
        <v>bill_payment</v>
      </c>
      <c r="K6" t="str">
        <f>_xlfn.IFNA(VLOOKUP(C6,merchants!$A$2:$D$41,4,FALSE),"Merchant not found")</f>
        <v>West</v>
      </c>
      <c r="L6" s="2">
        <f>HLOOKUP(F6,Fees!$B$1:$E$2,2,FALSE)</f>
        <v>0</v>
      </c>
    </row>
    <row r="7" spans="1:12" x14ac:dyDescent="0.3">
      <c r="A7" t="s">
        <v>17</v>
      </c>
      <c r="B7">
        <v>196</v>
      </c>
      <c r="C7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  <c r="I7" t="str">
        <f>_xlfn.IFNA(VLOOKUP(C7,merchants!$A$2:$D$41,2,FALSE),"Merchant not found")</f>
        <v>Merchant_003</v>
      </c>
      <c r="J7" t="str">
        <f>_xlfn.IFNA(VLOOKUP(C7,merchants!$A$2:$D$41,3,FALSE),"Merchant not found")</f>
        <v>grocery</v>
      </c>
      <c r="K7" t="str">
        <f>_xlfn.IFNA(VLOOKUP(C7,merchants!$A$2:$D$41,4,FALSE),"Merchant not found")</f>
        <v>East</v>
      </c>
      <c r="L7" s="2">
        <f>HLOOKUP(F7,Fees!$B$1:$E$2,2,FALSE)</f>
        <v>0</v>
      </c>
    </row>
    <row r="8" spans="1:12" x14ac:dyDescent="0.3">
      <c r="A8" t="s">
        <v>18</v>
      </c>
      <c r="B8">
        <v>236</v>
      </c>
      <c r="C8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  <c r="I8" t="str">
        <f>_xlfn.IFNA(VLOOKUP(C8,merchants!$A$2:$D$41,2,FALSE),"Merchant not found")</f>
        <v>Merchant_023</v>
      </c>
      <c r="J8" t="str">
        <f>_xlfn.IFNA(VLOOKUP(C8,merchants!$A$2:$D$41,3,FALSE),"Merchant not found")</f>
        <v>travel</v>
      </c>
      <c r="K8" t="str">
        <f>_xlfn.IFNA(VLOOKUP(C8,merchants!$A$2:$D$41,4,FALSE),"Merchant not found")</f>
        <v>North</v>
      </c>
      <c r="L8" s="2">
        <f>HLOOKUP(F8,Fees!$B$1:$E$2,2,FALSE)</f>
        <v>1.4999999999999999E-2</v>
      </c>
    </row>
    <row r="9" spans="1:12" x14ac:dyDescent="0.3">
      <c r="A9" t="s">
        <v>19</v>
      </c>
      <c r="B9">
        <v>13</v>
      </c>
      <c r="C9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  <c r="I9" t="str">
        <f>_xlfn.IFNA(VLOOKUP(C9,merchants!$A$2:$D$41,2,FALSE),"Merchant not found")</f>
        <v>Merchant_013</v>
      </c>
      <c r="J9" t="str">
        <f>_xlfn.IFNA(VLOOKUP(C9,merchants!$A$2:$D$41,3,FALSE),"Merchant not found")</f>
        <v>travel</v>
      </c>
      <c r="K9" t="str">
        <f>_xlfn.IFNA(VLOOKUP(C9,merchants!$A$2:$D$41,4,FALSE),"Merchant not found")</f>
        <v>East</v>
      </c>
      <c r="L9" s="2">
        <f>HLOOKUP(F9,Fees!$B$1:$E$2,2,FALSE)</f>
        <v>0</v>
      </c>
    </row>
    <row r="10" spans="1:12" x14ac:dyDescent="0.3">
      <c r="A10" t="s">
        <v>20</v>
      </c>
      <c r="B10">
        <v>36</v>
      </c>
      <c r="C10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  <c r="I10" t="str">
        <f>_xlfn.IFNA(VLOOKUP(C10,merchants!$A$2:$D$41,2,FALSE),"Merchant not found")</f>
        <v>Merchant_018</v>
      </c>
      <c r="J10" t="str">
        <f>_xlfn.IFNA(VLOOKUP(C10,merchants!$A$2:$D$41,3,FALSE),"Merchant not found")</f>
        <v>grocery</v>
      </c>
      <c r="K10" t="str">
        <f>_xlfn.IFNA(VLOOKUP(C10,merchants!$A$2:$D$41,4,FALSE),"Merchant not found")</f>
        <v>West</v>
      </c>
      <c r="L10" s="2">
        <f>HLOOKUP(F10,Fees!$B$1:$E$2,2,FALSE)</f>
        <v>0</v>
      </c>
    </row>
    <row r="11" spans="1:12" x14ac:dyDescent="0.3">
      <c r="A11" t="s">
        <v>21</v>
      </c>
      <c r="B11">
        <v>348</v>
      </c>
      <c r="C11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  <c r="I11" t="str">
        <f>_xlfn.IFNA(VLOOKUP(C11,merchants!$A$2:$D$41,2,FALSE),"Merchant not found")</f>
        <v>Merchant_035</v>
      </c>
      <c r="J11" t="str">
        <f>_xlfn.IFNA(VLOOKUP(C11,merchants!$A$2:$D$41,3,FALSE),"Merchant not found")</f>
        <v>recharge</v>
      </c>
      <c r="K11" t="str">
        <f>_xlfn.IFNA(VLOOKUP(C11,merchants!$A$2:$D$41,4,FALSE),"Merchant not found")</f>
        <v>East</v>
      </c>
      <c r="L11" s="2">
        <f>HLOOKUP(F11,Fees!$B$1:$E$2,2,FALSE)</f>
        <v>0</v>
      </c>
    </row>
    <row r="12" spans="1:12" x14ac:dyDescent="0.3">
      <c r="A12" t="s">
        <v>22</v>
      </c>
      <c r="B12">
        <v>134</v>
      </c>
      <c r="C1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  <c r="I12" t="str">
        <f>_xlfn.IFNA(VLOOKUP(C12,merchants!$A$2:$D$41,2,FALSE),"Merchant not found")</f>
        <v>Merchant_012</v>
      </c>
      <c r="J12" t="str">
        <f>_xlfn.IFNA(VLOOKUP(C12,merchants!$A$2:$D$41,3,FALSE),"Merchant not found")</f>
        <v>ecommerce</v>
      </c>
      <c r="K12" t="str">
        <f>_xlfn.IFNA(VLOOKUP(C12,merchants!$A$2:$D$41,4,FALSE),"Merchant not found")</f>
        <v>East</v>
      </c>
      <c r="L12" s="2">
        <f>HLOOKUP(F12,Fees!$B$1:$E$2,2,FALSE)</f>
        <v>0</v>
      </c>
    </row>
    <row r="13" spans="1:12" x14ac:dyDescent="0.3">
      <c r="A13" t="s">
        <v>23</v>
      </c>
      <c r="B13">
        <v>306</v>
      </c>
      <c r="C13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  <c r="I13" t="str">
        <f>_xlfn.IFNA(VLOOKUP(C13,merchants!$A$2:$D$41,2,FALSE),"Merchant not found")</f>
        <v>Merchant_028</v>
      </c>
      <c r="J13" t="str">
        <f>_xlfn.IFNA(VLOOKUP(C13,merchants!$A$2:$D$41,3,FALSE),"Merchant not found")</f>
        <v>ecommerce</v>
      </c>
      <c r="K13" t="str">
        <f>_xlfn.IFNA(VLOOKUP(C13,merchants!$A$2:$D$41,4,FALSE),"Merchant not found")</f>
        <v>South</v>
      </c>
      <c r="L13" s="2">
        <f>HLOOKUP(F13,Fees!$B$1:$E$2,2,FALSE)</f>
        <v>0.02</v>
      </c>
    </row>
    <row r="14" spans="1:12" x14ac:dyDescent="0.3">
      <c r="A14" t="s">
        <v>26</v>
      </c>
      <c r="B14">
        <v>311</v>
      </c>
      <c r="C14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  <c r="I14" t="str">
        <f>_xlfn.IFNA(VLOOKUP(C14,merchants!$A$2:$D$41,2,FALSE),"Merchant not found")</f>
        <v>Merchant_033</v>
      </c>
      <c r="J14" t="str">
        <f>_xlfn.IFNA(VLOOKUP(C14,merchants!$A$2:$D$41,3,FALSE),"Merchant not found")</f>
        <v>bill_payment</v>
      </c>
      <c r="K14" t="str">
        <f>_xlfn.IFNA(VLOOKUP(C14,merchants!$A$2:$D$41,4,FALSE),"Merchant not found")</f>
        <v>East</v>
      </c>
      <c r="L14" s="2">
        <f>HLOOKUP(F14,Fees!$B$1:$E$2,2,FALSE)</f>
        <v>1.4999999999999999E-2</v>
      </c>
    </row>
    <row r="15" spans="1:12" x14ac:dyDescent="0.3">
      <c r="A15" t="s">
        <v>27</v>
      </c>
      <c r="B15">
        <v>131</v>
      </c>
      <c r="C15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  <c r="I15" t="str">
        <f>_xlfn.IFNA(VLOOKUP(C15,merchants!$A$2:$D$41,2,FALSE),"Merchant not found")</f>
        <v>Merchant_003</v>
      </c>
      <c r="J15" t="str">
        <f>_xlfn.IFNA(VLOOKUP(C15,merchants!$A$2:$D$41,3,FALSE),"Merchant not found")</f>
        <v>grocery</v>
      </c>
      <c r="K15" t="str">
        <f>_xlfn.IFNA(VLOOKUP(C15,merchants!$A$2:$D$41,4,FALSE),"Merchant not found")</f>
        <v>East</v>
      </c>
      <c r="L15" s="2">
        <f>HLOOKUP(F15,Fees!$B$1:$E$2,2,FALSE)</f>
        <v>0</v>
      </c>
    </row>
    <row r="16" spans="1:12" x14ac:dyDescent="0.3">
      <c r="A16" t="s">
        <v>28</v>
      </c>
      <c r="B16">
        <v>276</v>
      </c>
      <c r="C16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  <c r="I16" t="str">
        <f>_xlfn.IFNA(VLOOKUP(C16,merchants!$A$2:$D$41,2,FALSE),"Merchant not found")</f>
        <v>Merchant_013</v>
      </c>
      <c r="J16" t="str">
        <f>_xlfn.IFNA(VLOOKUP(C16,merchants!$A$2:$D$41,3,FALSE),"Merchant not found")</f>
        <v>travel</v>
      </c>
      <c r="K16" t="str">
        <f>_xlfn.IFNA(VLOOKUP(C16,merchants!$A$2:$D$41,4,FALSE),"Merchant not found")</f>
        <v>East</v>
      </c>
      <c r="L16" s="2">
        <f>HLOOKUP(F16,Fees!$B$1:$E$2,2,FALSE)</f>
        <v>0</v>
      </c>
    </row>
    <row r="17" spans="1:12" x14ac:dyDescent="0.3">
      <c r="A17" t="s">
        <v>29</v>
      </c>
      <c r="B17">
        <v>170</v>
      </c>
      <c r="C17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  <c r="I17" t="str">
        <f>_xlfn.IFNA(VLOOKUP(C17,merchants!$A$2:$D$41,2,FALSE),"Merchant not found")</f>
        <v>Merchant_040</v>
      </c>
      <c r="J17" t="str">
        <f>_xlfn.IFNA(VLOOKUP(C17,merchants!$A$2:$D$41,3,FALSE),"Merchant not found")</f>
        <v>entertainment</v>
      </c>
      <c r="K17" t="str">
        <f>_xlfn.IFNA(VLOOKUP(C17,merchants!$A$2:$D$41,4,FALSE),"Merchant not found")</f>
        <v>South</v>
      </c>
      <c r="L17" s="2">
        <f>HLOOKUP(F17,Fees!$B$1:$E$2,2,FALSE)</f>
        <v>0</v>
      </c>
    </row>
    <row r="18" spans="1:12" x14ac:dyDescent="0.3">
      <c r="A18" t="s">
        <v>30</v>
      </c>
      <c r="B18">
        <v>154</v>
      </c>
      <c r="C18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  <c r="I18" t="str">
        <f>_xlfn.IFNA(VLOOKUP(C18,merchants!$A$2:$D$41,2,FALSE),"Merchant not found")</f>
        <v>Merchant_033</v>
      </c>
      <c r="J18" t="str">
        <f>_xlfn.IFNA(VLOOKUP(C18,merchants!$A$2:$D$41,3,FALSE),"Merchant not found")</f>
        <v>bill_payment</v>
      </c>
      <c r="K18" t="str">
        <f>_xlfn.IFNA(VLOOKUP(C18,merchants!$A$2:$D$41,4,FALSE),"Merchant not found")</f>
        <v>East</v>
      </c>
      <c r="L18" s="2">
        <f>HLOOKUP(F18,Fees!$B$1:$E$2,2,FALSE)</f>
        <v>0.01</v>
      </c>
    </row>
    <row r="19" spans="1:12" x14ac:dyDescent="0.3">
      <c r="A19" t="s">
        <v>31</v>
      </c>
      <c r="B19">
        <v>207</v>
      </c>
      <c r="C19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  <c r="I19" t="str">
        <f>_xlfn.IFNA(VLOOKUP(C19,merchants!$A$2:$D$41,2,FALSE),"Merchant not found")</f>
        <v>Merchant_019</v>
      </c>
      <c r="J19" t="str">
        <f>_xlfn.IFNA(VLOOKUP(C19,merchants!$A$2:$D$41,3,FALSE),"Merchant not found")</f>
        <v>grocery</v>
      </c>
      <c r="K19" t="str">
        <f>_xlfn.IFNA(VLOOKUP(C19,merchants!$A$2:$D$41,4,FALSE),"Merchant not found")</f>
        <v>North</v>
      </c>
      <c r="L19" s="2">
        <f>HLOOKUP(F19,Fees!$B$1:$E$2,2,FALSE)</f>
        <v>0.02</v>
      </c>
    </row>
    <row r="20" spans="1:12" x14ac:dyDescent="0.3">
      <c r="A20" t="s">
        <v>32</v>
      </c>
      <c r="B20">
        <v>341</v>
      </c>
      <c r="C20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  <c r="I20" t="str">
        <f>_xlfn.IFNA(VLOOKUP(C20,merchants!$A$2:$D$41,2,FALSE),"Merchant not found")</f>
        <v>Merchant_025</v>
      </c>
      <c r="J20" t="str">
        <f>_xlfn.IFNA(VLOOKUP(C20,merchants!$A$2:$D$41,3,FALSE),"Merchant not found")</f>
        <v>travel</v>
      </c>
      <c r="K20" t="str">
        <f>_xlfn.IFNA(VLOOKUP(C20,merchants!$A$2:$D$41,4,FALSE),"Merchant not found")</f>
        <v>South</v>
      </c>
      <c r="L20" s="2">
        <f>HLOOKUP(F20,Fees!$B$1:$E$2,2,FALSE)</f>
        <v>0</v>
      </c>
    </row>
    <row r="21" spans="1:12" x14ac:dyDescent="0.3">
      <c r="A21" t="s">
        <v>33</v>
      </c>
      <c r="B21">
        <v>292</v>
      </c>
      <c r="C21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  <c r="I21" t="str">
        <f>_xlfn.IFNA(VLOOKUP(C21,merchants!$A$2:$D$41,2,FALSE),"Merchant not found")</f>
        <v>Merchant_020</v>
      </c>
      <c r="J21" t="str">
        <f>_xlfn.IFNA(VLOOKUP(C21,merchants!$A$2:$D$41,3,FALSE),"Merchant not found")</f>
        <v>food_delivery</v>
      </c>
      <c r="K21" t="str">
        <f>_xlfn.IFNA(VLOOKUP(C21,merchants!$A$2:$D$41,4,FALSE),"Merchant not found")</f>
        <v>East</v>
      </c>
      <c r="L21" s="2">
        <f>HLOOKUP(F21,Fees!$B$1:$E$2,2,FALSE)</f>
        <v>0</v>
      </c>
    </row>
    <row r="22" spans="1:12" x14ac:dyDescent="0.3">
      <c r="A22" t="s">
        <v>34</v>
      </c>
      <c r="B22">
        <v>147</v>
      </c>
      <c r="C2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  <c r="I22" t="str">
        <f>_xlfn.IFNA(VLOOKUP(C22,merchants!$A$2:$D$41,2,FALSE),"Merchant not found")</f>
        <v>Merchant_014</v>
      </c>
      <c r="J22" t="str">
        <f>_xlfn.IFNA(VLOOKUP(C22,merchants!$A$2:$D$41,3,FALSE),"Merchant not found")</f>
        <v>grocery</v>
      </c>
      <c r="K22" t="str">
        <f>_xlfn.IFNA(VLOOKUP(C22,merchants!$A$2:$D$41,4,FALSE),"Merchant not found")</f>
        <v>East</v>
      </c>
      <c r="L22" s="2">
        <f>HLOOKUP(F22,Fees!$B$1:$E$2,2,FALSE)</f>
        <v>0.02</v>
      </c>
    </row>
    <row r="23" spans="1:12" x14ac:dyDescent="0.3">
      <c r="A23" t="s">
        <v>35</v>
      </c>
      <c r="B23">
        <v>336</v>
      </c>
      <c r="C23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  <c r="I23" t="str">
        <f>_xlfn.IFNA(VLOOKUP(C23,merchants!$A$2:$D$41,2,FALSE),"Merchant not found")</f>
        <v>Merchant_021</v>
      </c>
      <c r="J23" t="str">
        <f>_xlfn.IFNA(VLOOKUP(C23,merchants!$A$2:$D$41,3,FALSE),"Merchant not found")</f>
        <v>food_delivery</v>
      </c>
      <c r="K23" t="str">
        <f>_xlfn.IFNA(VLOOKUP(C23,merchants!$A$2:$D$41,4,FALSE),"Merchant not found")</f>
        <v>East</v>
      </c>
      <c r="L23" s="2">
        <f>HLOOKUP(F23,Fees!$B$1:$E$2,2,FALSE)</f>
        <v>0</v>
      </c>
    </row>
    <row r="24" spans="1:12" x14ac:dyDescent="0.3">
      <c r="A24" t="s">
        <v>36</v>
      </c>
      <c r="B24">
        <v>110</v>
      </c>
      <c r="C24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  <c r="I24" t="str">
        <f>_xlfn.IFNA(VLOOKUP(C24,merchants!$A$2:$D$41,2,FALSE),"Merchant not found")</f>
        <v>Merchant_033</v>
      </c>
      <c r="J24" t="str">
        <f>_xlfn.IFNA(VLOOKUP(C24,merchants!$A$2:$D$41,3,FALSE),"Merchant not found")</f>
        <v>bill_payment</v>
      </c>
      <c r="K24" t="str">
        <f>_xlfn.IFNA(VLOOKUP(C24,merchants!$A$2:$D$41,4,FALSE),"Merchant not found")</f>
        <v>East</v>
      </c>
      <c r="L24" s="2">
        <f>HLOOKUP(F24,Fees!$B$1:$E$2,2,FALSE)</f>
        <v>0</v>
      </c>
    </row>
    <row r="25" spans="1:12" x14ac:dyDescent="0.3">
      <c r="A25" t="s">
        <v>37</v>
      </c>
      <c r="B25">
        <v>338</v>
      </c>
      <c r="C25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  <c r="I25" t="str">
        <f>_xlfn.IFNA(VLOOKUP(C25,merchants!$A$2:$D$41,2,FALSE),"Merchant not found")</f>
        <v>Merchant_006</v>
      </c>
      <c r="J25" t="str">
        <f>_xlfn.IFNA(VLOOKUP(C25,merchants!$A$2:$D$41,3,FALSE),"Merchant not found")</f>
        <v>food_delivery</v>
      </c>
      <c r="K25" t="str">
        <f>_xlfn.IFNA(VLOOKUP(C25,merchants!$A$2:$D$41,4,FALSE),"Merchant not found")</f>
        <v>South</v>
      </c>
      <c r="L25" s="2">
        <f>HLOOKUP(F25,Fees!$B$1:$E$2,2,FALSE)</f>
        <v>0</v>
      </c>
    </row>
    <row r="26" spans="1:12" x14ac:dyDescent="0.3">
      <c r="A26" t="s">
        <v>39</v>
      </c>
      <c r="B26">
        <v>318</v>
      </c>
      <c r="C26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  <c r="I26" t="str">
        <f>_xlfn.IFNA(VLOOKUP(C26,merchants!$A$2:$D$41,2,FALSE),"Merchant not found")</f>
        <v>Merchant_022</v>
      </c>
      <c r="J26" t="str">
        <f>_xlfn.IFNA(VLOOKUP(C26,merchants!$A$2:$D$41,3,FALSE),"Merchant not found")</f>
        <v>travel</v>
      </c>
      <c r="K26" t="str">
        <f>_xlfn.IFNA(VLOOKUP(C26,merchants!$A$2:$D$41,4,FALSE),"Merchant not found")</f>
        <v>South</v>
      </c>
      <c r="L26" s="2">
        <f>HLOOKUP(F26,Fees!$B$1:$E$2,2,FALSE)</f>
        <v>1.4999999999999999E-2</v>
      </c>
    </row>
    <row r="27" spans="1:12" x14ac:dyDescent="0.3">
      <c r="A27" t="s">
        <v>40</v>
      </c>
      <c r="B27">
        <v>159</v>
      </c>
      <c r="C27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  <c r="I27" t="str">
        <f>_xlfn.IFNA(VLOOKUP(C27,merchants!$A$2:$D$41,2,FALSE),"Merchant not found")</f>
        <v>Merchant_015</v>
      </c>
      <c r="J27" t="str">
        <f>_xlfn.IFNA(VLOOKUP(C27,merchants!$A$2:$D$41,3,FALSE),"Merchant not found")</f>
        <v>travel</v>
      </c>
      <c r="K27" t="str">
        <f>_xlfn.IFNA(VLOOKUP(C27,merchants!$A$2:$D$41,4,FALSE),"Merchant not found")</f>
        <v>North</v>
      </c>
      <c r="L27" s="2">
        <f>HLOOKUP(F27,Fees!$B$1:$E$2,2,FALSE)</f>
        <v>0</v>
      </c>
    </row>
    <row r="28" spans="1:12" x14ac:dyDescent="0.3">
      <c r="A28" t="s">
        <v>41</v>
      </c>
      <c r="B28">
        <v>126</v>
      </c>
      <c r="C28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  <c r="I28" t="str">
        <f>_xlfn.IFNA(VLOOKUP(C28,merchants!$A$2:$D$41,2,FALSE),"Merchant not found")</f>
        <v>Merchant_031</v>
      </c>
      <c r="J28" t="str">
        <f>_xlfn.IFNA(VLOOKUP(C28,merchants!$A$2:$D$41,3,FALSE),"Merchant not found")</f>
        <v>bill_payment</v>
      </c>
      <c r="K28" t="str">
        <f>_xlfn.IFNA(VLOOKUP(C28,merchants!$A$2:$D$41,4,FALSE),"Merchant not found")</f>
        <v>East</v>
      </c>
      <c r="L28" s="2">
        <f>HLOOKUP(F28,Fees!$B$1:$E$2,2,FALSE)</f>
        <v>0.02</v>
      </c>
    </row>
    <row r="29" spans="1:12" x14ac:dyDescent="0.3">
      <c r="A29" t="s">
        <v>42</v>
      </c>
      <c r="B29">
        <v>213</v>
      </c>
      <c r="C29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  <c r="I29" t="str">
        <f>_xlfn.IFNA(VLOOKUP(C29,merchants!$A$2:$D$41,2,FALSE),"Merchant not found")</f>
        <v>Merchant_037</v>
      </c>
      <c r="J29" t="str">
        <f>_xlfn.IFNA(VLOOKUP(C29,merchants!$A$2:$D$41,3,FALSE),"Merchant not found")</f>
        <v>entertainment</v>
      </c>
      <c r="K29" t="str">
        <f>_xlfn.IFNA(VLOOKUP(C29,merchants!$A$2:$D$41,4,FALSE),"Merchant not found")</f>
        <v>South</v>
      </c>
      <c r="L29" s="2">
        <f>HLOOKUP(F29,Fees!$B$1:$E$2,2,FALSE)</f>
        <v>0</v>
      </c>
    </row>
    <row r="30" spans="1:12" x14ac:dyDescent="0.3">
      <c r="A30" t="s">
        <v>43</v>
      </c>
      <c r="B30">
        <v>254</v>
      </c>
      <c r="C30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  <c r="I30" t="str">
        <f>_xlfn.IFNA(VLOOKUP(C30,merchants!$A$2:$D$41,2,FALSE),"Merchant not found")</f>
        <v>Merchant_026</v>
      </c>
      <c r="J30" t="str">
        <f>_xlfn.IFNA(VLOOKUP(C30,merchants!$A$2:$D$41,3,FALSE),"Merchant not found")</f>
        <v>food_delivery</v>
      </c>
      <c r="K30" t="str">
        <f>_xlfn.IFNA(VLOOKUP(C30,merchants!$A$2:$D$41,4,FALSE),"Merchant not found")</f>
        <v>East</v>
      </c>
      <c r="L30" s="2">
        <f>HLOOKUP(F30,Fees!$B$1:$E$2,2,FALSE)</f>
        <v>1.4999999999999999E-2</v>
      </c>
    </row>
    <row r="31" spans="1:12" x14ac:dyDescent="0.3">
      <c r="A31" t="s">
        <v>44</v>
      </c>
      <c r="B31">
        <v>3</v>
      </c>
      <c r="C31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  <c r="I31" t="str">
        <f>_xlfn.IFNA(VLOOKUP(C31,merchants!$A$2:$D$41,2,FALSE),"Merchant not found")</f>
        <v>Merchant_007</v>
      </c>
      <c r="J31" t="str">
        <f>_xlfn.IFNA(VLOOKUP(C31,merchants!$A$2:$D$41,3,FALSE),"Merchant not found")</f>
        <v>food_delivery</v>
      </c>
      <c r="K31" t="str">
        <f>_xlfn.IFNA(VLOOKUP(C31,merchants!$A$2:$D$41,4,FALSE),"Merchant not found")</f>
        <v>East</v>
      </c>
      <c r="L31" s="2">
        <f>HLOOKUP(F31,Fees!$B$1:$E$2,2,FALSE)</f>
        <v>0</v>
      </c>
    </row>
    <row r="32" spans="1:12" x14ac:dyDescent="0.3">
      <c r="A32" t="s">
        <v>45</v>
      </c>
      <c r="B32">
        <v>266</v>
      </c>
      <c r="C3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  <c r="I32" t="str">
        <f>_xlfn.IFNA(VLOOKUP(C32,merchants!$A$2:$D$41,2,FALSE),"Merchant not found")</f>
        <v>Merchant_030</v>
      </c>
      <c r="J32" t="str">
        <f>_xlfn.IFNA(VLOOKUP(C32,merchants!$A$2:$D$41,3,FALSE),"Merchant not found")</f>
        <v>travel</v>
      </c>
      <c r="K32" t="str">
        <f>_xlfn.IFNA(VLOOKUP(C32,merchants!$A$2:$D$41,4,FALSE),"Merchant not found")</f>
        <v>West</v>
      </c>
      <c r="L32" s="2">
        <f>HLOOKUP(F32,Fees!$B$1:$E$2,2,FALSE)</f>
        <v>0.02</v>
      </c>
    </row>
    <row r="33" spans="1:12" x14ac:dyDescent="0.3">
      <c r="A33" t="s">
        <v>46</v>
      </c>
      <c r="B33">
        <v>63</v>
      </c>
      <c r="C33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  <c r="I33" t="str">
        <f>_xlfn.IFNA(VLOOKUP(C33,merchants!$A$2:$D$41,2,FALSE),"Merchant not found")</f>
        <v>Merchant_030</v>
      </c>
      <c r="J33" t="str">
        <f>_xlfn.IFNA(VLOOKUP(C33,merchants!$A$2:$D$41,3,FALSE),"Merchant not found")</f>
        <v>travel</v>
      </c>
      <c r="K33" t="str">
        <f>_xlfn.IFNA(VLOOKUP(C33,merchants!$A$2:$D$41,4,FALSE),"Merchant not found")</f>
        <v>West</v>
      </c>
      <c r="L33" s="2">
        <f>HLOOKUP(F33,Fees!$B$1:$E$2,2,FALSE)</f>
        <v>0</v>
      </c>
    </row>
    <row r="34" spans="1:12" x14ac:dyDescent="0.3">
      <c r="A34" t="s">
        <v>47</v>
      </c>
      <c r="B34">
        <v>272</v>
      </c>
      <c r="C34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  <c r="I34" t="str">
        <f>_xlfn.IFNA(VLOOKUP(C34,merchants!$A$2:$D$41,2,FALSE),"Merchant not found")</f>
        <v>Merchant_036</v>
      </c>
      <c r="J34" t="str">
        <f>_xlfn.IFNA(VLOOKUP(C34,merchants!$A$2:$D$41,3,FALSE),"Merchant not found")</f>
        <v>entertainment</v>
      </c>
      <c r="K34" t="str">
        <f>_xlfn.IFNA(VLOOKUP(C34,merchants!$A$2:$D$41,4,FALSE),"Merchant not found")</f>
        <v>East</v>
      </c>
      <c r="L34" s="2">
        <f>HLOOKUP(F34,Fees!$B$1:$E$2,2,FALSE)</f>
        <v>0</v>
      </c>
    </row>
    <row r="35" spans="1:12" x14ac:dyDescent="0.3">
      <c r="A35" t="s">
        <v>48</v>
      </c>
      <c r="B35">
        <v>259</v>
      </c>
      <c r="C35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  <c r="I35" t="str">
        <f>_xlfn.IFNA(VLOOKUP(C35,merchants!$A$2:$D$41,2,FALSE),"Merchant not found")</f>
        <v>Merchant_028</v>
      </c>
      <c r="J35" t="str">
        <f>_xlfn.IFNA(VLOOKUP(C35,merchants!$A$2:$D$41,3,FALSE),"Merchant not found")</f>
        <v>ecommerce</v>
      </c>
      <c r="K35" t="str">
        <f>_xlfn.IFNA(VLOOKUP(C35,merchants!$A$2:$D$41,4,FALSE),"Merchant not found")</f>
        <v>South</v>
      </c>
      <c r="L35" s="2">
        <f>HLOOKUP(F35,Fees!$B$1:$E$2,2,FALSE)</f>
        <v>1.4999999999999999E-2</v>
      </c>
    </row>
    <row r="36" spans="1:12" x14ac:dyDescent="0.3">
      <c r="A36" t="s">
        <v>49</v>
      </c>
      <c r="B36">
        <v>244</v>
      </c>
      <c r="C36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  <c r="I36" t="str">
        <f>_xlfn.IFNA(VLOOKUP(C36,merchants!$A$2:$D$41,2,FALSE),"Merchant not found")</f>
        <v>Merchant_029</v>
      </c>
      <c r="J36" t="str">
        <f>_xlfn.IFNA(VLOOKUP(C36,merchants!$A$2:$D$41,3,FALSE),"Merchant not found")</f>
        <v>ecommerce</v>
      </c>
      <c r="K36" t="str">
        <f>_xlfn.IFNA(VLOOKUP(C36,merchants!$A$2:$D$41,4,FALSE),"Merchant not found")</f>
        <v>North</v>
      </c>
      <c r="L36" s="2">
        <f>HLOOKUP(F36,Fees!$B$1:$E$2,2,FALSE)</f>
        <v>0.01</v>
      </c>
    </row>
    <row r="37" spans="1:12" x14ac:dyDescent="0.3">
      <c r="A37" t="s">
        <v>50</v>
      </c>
      <c r="B37">
        <v>327</v>
      </c>
      <c r="C37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  <c r="I37" t="str">
        <f>_xlfn.IFNA(VLOOKUP(C37,merchants!$A$2:$D$41,2,FALSE),"Merchant not found")</f>
        <v>Merchant_018</v>
      </c>
      <c r="J37" t="str">
        <f>_xlfn.IFNA(VLOOKUP(C37,merchants!$A$2:$D$41,3,FALSE),"Merchant not found")</f>
        <v>grocery</v>
      </c>
      <c r="K37" t="str">
        <f>_xlfn.IFNA(VLOOKUP(C37,merchants!$A$2:$D$41,4,FALSE),"Merchant not found")</f>
        <v>West</v>
      </c>
      <c r="L37" s="2">
        <f>HLOOKUP(F37,Fees!$B$1:$E$2,2,FALSE)</f>
        <v>0.02</v>
      </c>
    </row>
    <row r="38" spans="1:12" x14ac:dyDescent="0.3">
      <c r="A38" t="s">
        <v>51</v>
      </c>
      <c r="B38">
        <v>321</v>
      </c>
      <c r="C38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  <c r="I38" t="str">
        <f>_xlfn.IFNA(VLOOKUP(C38,merchants!$A$2:$D$41,2,FALSE),"Merchant not found")</f>
        <v>Merchant_016</v>
      </c>
      <c r="J38" t="str">
        <f>_xlfn.IFNA(VLOOKUP(C38,merchants!$A$2:$D$41,3,FALSE),"Merchant not found")</f>
        <v>bill_payment</v>
      </c>
      <c r="K38" t="str">
        <f>_xlfn.IFNA(VLOOKUP(C38,merchants!$A$2:$D$41,4,FALSE),"Merchant not found")</f>
        <v>West</v>
      </c>
      <c r="L38" s="2">
        <f>HLOOKUP(F38,Fees!$B$1:$E$2,2,FALSE)</f>
        <v>0</v>
      </c>
    </row>
    <row r="39" spans="1:12" x14ac:dyDescent="0.3">
      <c r="A39" t="s">
        <v>52</v>
      </c>
      <c r="B39">
        <v>147</v>
      </c>
      <c r="C39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  <c r="I39" t="str">
        <f>_xlfn.IFNA(VLOOKUP(C39,merchants!$A$2:$D$41,2,FALSE),"Merchant not found")</f>
        <v>Merchant_016</v>
      </c>
      <c r="J39" t="str">
        <f>_xlfn.IFNA(VLOOKUP(C39,merchants!$A$2:$D$41,3,FALSE),"Merchant not found")</f>
        <v>bill_payment</v>
      </c>
      <c r="K39" t="str">
        <f>_xlfn.IFNA(VLOOKUP(C39,merchants!$A$2:$D$41,4,FALSE),"Merchant not found")</f>
        <v>West</v>
      </c>
      <c r="L39" s="2">
        <f>HLOOKUP(F39,Fees!$B$1:$E$2,2,FALSE)</f>
        <v>0.02</v>
      </c>
    </row>
    <row r="40" spans="1:12" x14ac:dyDescent="0.3">
      <c r="A40" t="s">
        <v>53</v>
      </c>
      <c r="B40">
        <v>277</v>
      </c>
      <c r="C40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  <c r="I40" t="str">
        <f>_xlfn.IFNA(VLOOKUP(C40,merchants!$A$2:$D$41,2,FALSE),"Merchant not found")</f>
        <v>Merchant_006</v>
      </c>
      <c r="J40" t="str">
        <f>_xlfn.IFNA(VLOOKUP(C40,merchants!$A$2:$D$41,3,FALSE),"Merchant not found")</f>
        <v>food_delivery</v>
      </c>
      <c r="K40" t="str">
        <f>_xlfn.IFNA(VLOOKUP(C40,merchants!$A$2:$D$41,4,FALSE),"Merchant not found")</f>
        <v>South</v>
      </c>
      <c r="L40" s="2">
        <f>HLOOKUP(F40,Fees!$B$1:$E$2,2,FALSE)</f>
        <v>0.02</v>
      </c>
    </row>
    <row r="41" spans="1:12" x14ac:dyDescent="0.3">
      <c r="A41" t="s">
        <v>54</v>
      </c>
      <c r="B41">
        <v>79</v>
      </c>
      <c r="C41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  <c r="I41" t="str">
        <f>_xlfn.IFNA(VLOOKUP(C41,merchants!$A$2:$D$41,2,FALSE),"Merchant not found")</f>
        <v>Merchant_014</v>
      </c>
      <c r="J41" t="str">
        <f>_xlfn.IFNA(VLOOKUP(C41,merchants!$A$2:$D$41,3,FALSE),"Merchant not found")</f>
        <v>grocery</v>
      </c>
      <c r="K41" t="str">
        <f>_xlfn.IFNA(VLOOKUP(C41,merchants!$A$2:$D$41,4,FALSE),"Merchant not found")</f>
        <v>East</v>
      </c>
      <c r="L41" s="2">
        <f>HLOOKUP(F41,Fees!$B$1:$E$2,2,FALSE)</f>
        <v>0</v>
      </c>
    </row>
    <row r="42" spans="1:12" x14ac:dyDescent="0.3">
      <c r="A42" t="s">
        <v>55</v>
      </c>
      <c r="B42">
        <v>278</v>
      </c>
      <c r="C4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  <c r="I42" t="str">
        <f>_xlfn.IFNA(VLOOKUP(C42,merchants!$A$2:$D$41,2,FALSE),"Merchant not found")</f>
        <v>Merchant_030</v>
      </c>
      <c r="J42" t="str">
        <f>_xlfn.IFNA(VLOOKUP(C42,merchants!$A$2:$D$41,3,FALSE),"Merchant not found")</f>
        <v>travel</v>
      </c>
      <c r="K42" t="str">
        <f>_xlfn.IFNA(VLOOKUP(C42,merchants!$A$2:$D$41,4,FALSE),"Merchant not found")</f>
        <v>West</v>
      </c>
      <c r="L42" s="2">
        <f>HLOOKUP(F42,Fees!$B$1:$E$2,2,FALSE)</f>
        <v>0</v>
      </c>
    </row>
    <row r="43" spans="1:12" x14ac:dyDescent="0.3">
      <c r="A43" t="s">
        <v>56</v>
      </c>
      <c r="B43">
        <v>216</v>
      </c>
      <c r="C43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  <c r="I43" t="str">
        <f>_xlfn.IFNA(VLOOKUP(C43,merchants!$A$2:$D$41,2,FALSE),"Merchant not found")</f>
        <v>Merchant_025</v>
      </c>
      <c r="J43" t="str">
        <f>_xlfn.IFNA(VLOOKUP(C43,merchants!$A$2:$D$41,3,FALSE),"Merchant not found")</f>
        <v>travel</v>
      </c>
      <c r="K43" t="str">
        <f>_xlfn.IFNA(VLOOKUP(C43,merchants!$A$2:$D$41,4,FALSE),"Merchant not found")</f>
        <v>South</v>
      </c>
      <c r="L43" s="2">
        <f>HLOOKUP(F43,Fees!$B$1:$E$2,2,FALSE)</f>
        <v>0</v>
      </c>
    </row>
    <row r="44" spans="1:12" x14ac:dyDescent="0.3">
      <c r="A44" t="s">
        <v>57</v>
      </c>
      <c r="B44">
        <v>295</v>
      </c>
      <c r="C44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  <c r="I44" t="str">
        <f>_xlfn.IFNA(VLOOKUP(C44,merchants!$A$2:$D$41,2,FALSE),"Merchant not found")</f>
        <v>Merchant_025</v>
      </c>
      <c r="J44" t="str">
        <f>_xlfn.IFNA(VLOOKUP(C44,merchants!$A$2:$D$41,3,FALSE),"Merchant not found")</f>
        <v>travel</v>
      </c>
      <c r="K44" t="str">
        <f>_xlfn.IFNA(VLOOKUP(C44,merchants!$A$2:$D$41,4,FALSE),"Merchant not found")</f>
        <v>South</v>
      </c>
      <c r="L44" s="2">
        <f>HLOOKUP(F44,Fees!$B$1:$E$2,2,FALSE)</f>
        <v>0</v>
      </c>
    </row>
    <row r="45" spans="1:12" x14ac:dyDescent="0.3">
      <c r="A45" t="s">
        <v>58</v>
      </c>
      <c r="B45">
        <v>200</v>
      </c>
      <c r="C45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  <c r="I45" t="str">
        <f>_xlfn.IFNA(VLOOKUP(C45,merchants!$A$2:$D$41,2,FALSE),"Merchant not found")</f>
        <v>Merchant_027</v>
      </c>
      <c r="J45" t="str">
        <f>_xlfn.IFNA(VLOOKUP(C45,merchants!$A$2:$D$41,3,FALSE),"Merchant not found")</f>
        <v>ecommerce</v>
      </c>
      <c r="K45" t="str">
        <f>_xlfn.IFNA(VLOOKUP(C45,merchants!$A$2:$D$41,4,FALSE),"Merchant not found")</f>
        <v>North</v>
      </c>
      <c r="L45" s="2">
        <f>HLOOKUP(F45,Fees!$B$1:$E$2,2,FALSE)</f>
        <v>0</v>
      </c>
    </row>
    <row r="46" spans="1:12" x14ac:dyDescent="0.3">
      <c r="A46" t="s">
        <v>59</v>
      </c>
      <c r="B46">
        <v>309</v>
      </c>
      <c r="C46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  <c r="I46" t="str">
        <f>_xlfn.IFNA(VLOOKUP(C46,merchants!$A$2:$D$41,2,FALSE),"Merchant not found")</f>
        <v>Merchant_015</v>
      </c>
      <c r="J46" t="str">
        <f>_xlfn.IFNA(VLOOKUP(C46,merchants!$A$2:$D$41,3,FALSE),"Merchant not found")</f>
        <v>travel</v>
      </c>
      <c r="K46" t="str">
        <f>_xlfn.IFNA(VLOOKUP(C46,merchants!$A$2:$D$41,4,FALSE),"Merchant not found")</f>
        <v>North</v>
      </c>
      <c r="L46" s="2">
        <f>HLOOKUP(F46,Fees!$B$1:$E$2,2,FALSE)</f>
        <v>0.01</v>
      </c>
    </row>
    <row r="47" spans="1:12" x14ac:dyDescent="0.3">
      <c r="A47" t="s">
        <v>60</v>
      </c>
      <c r="B47">
        <v>249</v>
      </c>
      <c r="C47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  <c r="I47" t="str">
        <f>_xlfn.IFNA(VLOOKUP(C47,merchants!$A$2:$D$41,2,FALSE),"Merchant not found")</f>
        <v>Merchant_002</v>
      </c>
      <c r="J47" t="str">
        <f>_xlfn.IFNA(VLOOKUP(C47,merchants!$A$2:$D$41,3,FALSE),"Merchant not found")</f>
        <v>grocery</v>
      </c>
      <c r="K47" t="str">
        <f>_xlfn.IFNA(VLOOKUP(C47,merchants!$A$2:$D$41,4,FALSE),"Merchant not found")</f>
        <v>West</v>
      </c>
      <c r="L47" s="2">
        <f>HLOOKUP(F47,Fees!$B$1:$E$2,2,FALSE)</f>
        <v>1.4999999999999999E-2</v>
      </c>
    </row>
    <row r="48" spans="1:12" x14ac:dyDescent="0.3">
      <c r="A48" t="s">
        <v>61</v>
      </c>
      <c r="B48">
        <v>208</v>
      </c>
      <c r="C48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  <c r="I48" t="str">
        <f>_xlfn.IFNA(VLOOKUP(C48,merchants!$A$2:$D$41,2,FALSE),"Merchant not found")</f>
        <v>Merchant_011</v>
      </c>
      <c r="J48" t="str">
        <f>_xlfn.IFNA(VLOOKUP(C48,merchants!$A$2:$D$41,3,FALSE),"Merchant not found")</f>
        <v>ecommerce</v>
      </c>
      <c r="K48" t="str">
        <f>_xlfn.IFNA(VLOOKUP(C48,merchants!$A$2:$D$41,4,FALSE),"Merchant not found")</f>
        <v>North</v>
      </c>
      <c r="L48" s="2">
        <f>HLOOKUP(F48,Fees!$B$1:$E$2,2,FALSE)</f>
        <v>0.01</v>
      </c>
    </row>
    <row r="49" spans="1:12" x14ac:dyDescent="0.3">
      <c r="A49" t="s">
        <v>62</v>
      </c>
      <c r="B49">
        <v>274</v>
      </c>
      <c r="C49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  <c r="I49" t="str">
        <f>_xlfn.IFNA(VLOOKUP(C49,merchants!$A$2:$D$41,2,FALSE),"Merchant not found")</f>
        <v>Merchant_002</v>
      </c>
      <c r="J49" t="str">
        <f>_xlfn.IFNA(VLOOKUP(C49,merchants!$A$2:$D$41,3,FALSE),"Merchant not found")</f>
        <v>grocery</v>
      </c>
      <c r="K49" t="str">
        <f>_xlfn.IFNA(VLOOKUP(C49,merchants!$A$2:$D$41,4,FALSE),"Merchant not found")</f>
        <v>West</v>
      </c>
      <c r="L49" s="2">
        <f>HLOOKUP(F49,Fees!$B$1:$E$2,2,FALSE)</f>
        <v>0</v>
      </c>
    </row>
    <row r="50" spans="1:12" x14ac:dyDescent="0.3">
      <c r="A50" t="s">
        <v>63</v>
      </c>
      <c r="B50">
        <v>14</v>
      </c>
      <c r="C50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  <c r="I50" t="str">
        <f>_xlfn.IFNA(VLOOKUP(C50,merchants!$A$2:$D$41,2,FALSE),"Merchant not found")</f>
        <v>Merchant_006</v>
      </c>
      <c r="J50" t="str">
        <f>_xlfn.IFNA(VLOOKUP(C50,merchants!$A$2:$D$41,3,FALSE),"Merchant not found")</f>
        <v>food_delivery</v>
      </c>
      <c r="K50" t="str">
        <f>_xlfn.IFNA(VLOOKUP(C50,merchants!$A$2:$D$41,4,FALSE),"Merchant not found")</f>
        <v>South</v>
      </c>
      <c r="L50" s="2">
        <f>HLOOKUP(F50,Fees!$B$1:$E$2,2,FALSE)</f>
        <v>1.4999999999999999E-2</v>
      </c>
    </row>
    <row r="51" spans="1:12" x14ac:dyDescent="0.3">
      <c r="A51" t="s">
        <v>64</v>
      </c>
      <c r="B51">
        <v>237</v>
      </c>
      <c r="C51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  <c r="I51" t="str">
        <f>_xlfn.IFNA(VLOOKUP(C51,merchants!$A$2:$D$41,2,FALSE),"Merchant not found")</f>
        <v>Merchant_012</v>
      </c>
      <c r="J51" t="str">
        <f>_xlfn.IFNA(VLOOKUP(C51,merchants!$A$2:$D$41,3,FALSE),"Merchant not found")</f>
        <v>ecommerce</v>
      </c>
      <c r="K51" t="str">
        <f>_xlfn.IFNA(VLOOKUP(C51,merchants!$A$2:$D$41,4,FALSE),"Merchant not found")</f>
        <v>East</v>
      </c>
      <c r="L51" s="2">
        <f>HLOOKUP(F51,Fees!$B$1:$E$2,2,FALSE)</f>
        <v>0</v>
      </c>
    </row>
    <row r="52" spans="1:12" x14ac:dyDescent="0.3">
      <c r="A52" t="s">
        <v>65</v>
      </c>
      <c r="B52">
        <v>109</v>
      </c>
      <c r="C5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  <c r="I52" t="str">
        <f>_xlfn.IFNA(VLOOKUP(C52,merchants!$A$2:$D$41,2,FALSE),"Merchant not found")</f>
        <v>Merchant_030</v>
      </c>
      <c r="J52" t="str">
        <f>_xlfn.IFNA(VLOOKUP(C52,merchants!$A$2:$D$41,3,FALSE),"Merchant not found")</f>
        <v>travel</v>
      </c>
      <c r="K52" t="str">
        <f>_xlfn.IFNA(VLOOKUP(C52,merchants!$A$2:$D$41,4,FALSE),"Merchant not found")</f>
        <v>West</v>
      </c>
      <c r="L52" s="2">
        <f>HLOOKUP(F52,Fees!$B$1:$E$2,2,FALSE)</f>
        <v>0</v>
      </c>
    </row>
    <row r="53" spans="1:12" x14ac:dyDescent="0.3">
      <c r="A53" t="s">
        <v>66</v>
      </c>
      <c r="B53">
        <v>216</v>
      </c>
      <c r="C53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  <c r="I53" t="str">
        <f>_xlfn.IFNA(VLOOKUP(C53,merchants!$A$2:$D$41,2,FALSE),"Merchant not found")</f>
        <v>Merchant_017</v>
      </c>
      <c r="J53" t="str">
        <f>_xlfn.IFNA(VLOOKUP(C53,merchants!$A$2:$D$41,3,FALSE),"Merchant not found")</f>
        <v>grocery</v>
      </c>
      <c r="K53" t="str">
        <f>_xlfn.IFNA(VLOOKUP(C53,merchants!$A$2:$D$41,4,FALSE),"Merchant not found")</f>
        <v>North</v>
      </c>
      <c r="L53" s="2">
        <f>HLOOKUP(F53,Fees!$B$1:$E$2,2,FALSE)</f>
        <v>0</v>
      </c>
    </row>
    <row r="54" spans="1:12" x14ac:dyDescent="0.3">
      <c r="A54" t="s">
        <v>67</v>
      </c>
      <c r="B54">
        <v>277</v>
      </c>
      <c r="C54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  <c r="I54" t="str">
        <f>_xlfn.IFNA(VLOOKUP(C54,merchants!$A$2:$D$41,2,FALSE),"Merchant not found")</f>
        <v>Merchant_004</v>
      </c>
      <c r="J54" t="str">
        <f>_xlfn.IFNA(VLOOKUP(C54,merchants!$A$2:$D$41,3,FALSE),"Merchant not found")</f>
        <v>ecommerce</v>
      </c>
      <c r="K54" t="str">
        <f>_xlfn.IFNA(VLOOKUP(C54,merchants!$A$2:$D$41,4,FALSE),"Merchant not found")</f>
        <v>East</v>
      </c>
      <c r="L54" s="2">
        <f>HLOOKUP(F54,Fees!$B$1:$E$2,2,FALSE)</f>
        <v>0</v>
      </c>
    </row>
    <row r="55" spans="1:12" x14ac:dyDescent="0.3">
      <c r="A55" t="s">
        <v>68</v>
      </c>
      <c r="B55">
        <v>334</v>
      </c>
      <c r="C55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  <c r="I55" t="str">
        <f>_xlfn.IFNA(VLOOKUP(C55,merchants!$A$2:$D$41,2,FALSE),"Merchant not found")</f>
        <v>Merchant_003</v>
      </c>
      <c r="J55" t="str">
        <f>_xlfn.IFNA(VLOOKUP(C55,merchants!$A$2:$D$41,3,FALSE),"Merchant not found")</f>
        <v>grocery</v>
      </c>
      <c r="K55" t="str">
        <f>_xlfn.IFNA(VLOOKUP(C55,merchants!$A$2:$D$41,4,FALSE),"Merchant not found")</f>
        <v>East</v>
      </c>
      <c r="L55" s="2">
        <f>HLOOKUP(F55,Fees!$B$1:$E$2,2,FALSE)</f>
        <v>1.4999999999999999E-2</v>
      </c>
    </row>
    <row r="56" spans="1:12" x14ac:dyDescent="0.3">
      <c r="A56" t="s">
        <v>69</v>
      </c>
      <c r="B56">
        <v>11</v>
      </c>
      <c r="C56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  <c r="I56" t="str">
        <f>_xlfn.IFNA(VLOOKUP(C56,merchants!$A$2:$D$41,2,FALSE),"Merchant not found")</f>
        <v>Merchant_040</v>
      </c>
      <c r="J56" t="str">
        <f>_xlfn.IFNA(VLOOKUP(C56,merchants!$A$2:$D$41,3,FALSE),"Merchant not found")</f>
        <v>entertainment</v>
      </c>
      <c r="K56" t="str">
        <f>_xlfn.IFNA(VLOOKUP(C56,merchants!$A$2:$D$41,4,FALSE),"Merchant not found")</f>
        <v>South</v>
      </c>
      <c r="L56" s="2">
        <f>HLOOKUP(F56,Fees!$B$1:$E$2,2,FALSE)</f>
        <v>0</v>
      </c>
    </row>
    <row r="57" spans="1:12" x14ac:dyDescent="0.3">
      <c r="A57" t="s">
        <v>70</v>
      </c>
      <c r="B57">
        <v>343</v>
      </c>
      <c r="C57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  <c r="I57" t="str">
        <f>_xlfn.IFNA(VLOOKUP(C57,merchants!$A$2:$D$41,2,FALSE),"Merchant not found")</f>
        <v>Merchant_008</v>
      </c>
      <c r="J57" t="str">
        <f>_xlfn.IFNA(VLOOKUP(C57,merchants!$A$2:$D$41,3,FALSE),"Merchant not found")</f>
        <v>food_delivery</v>
      </c>
      <c r="K57" t="str">
        <f>_xlfn.IFNA(VLOOKUP(C57,merchants!$A$2:$D$41,4,FALSE),"Merchant not found")</f>
        <v>North</v>
      </c>
      <c r="L57" s="2">
        <f>HLOOKUP(F57,Fees!$B$1:$E$2,2,FALSE)</f>
        <v>0</v>
      </c>
    </row>
    <row r="58" spans="1:12" x14ac:dyDescent="0.3">
      <c r="A58" t="s">
        <v>71</v>
      </c>
      <c r="B58">
        <v>132</v>
      </c>
      <c r="C58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  <c r="I58" t="str">
        <f>_xlfn.IFNA(VLOOKUP(C58,merchants!$A$2:$D$41,2,FALSE),"Merchant not found")</f>
        <v>Merchant_024</v>
      </c>
      <c r="J58" t="str">
        <f>_xlfn.IFNA(VLOOKUP(C58,merchants!$A$2:$D$41,3,FALSE),"Merchant not found")</f>
        <v>grocery</v>
      </c>
      <c r="K58" t="str">
        <f>_xlfn.IFNA(VLOOKUP(C58,merchants!$A$2:$D$41,4,FALSE),"Merchant not found")</f>
        <v>North</v>
      </c>
      <c r="L58" s="2">
        <f>HLOOKUP(F58,Fees!$B$1:$E$2,2,FALSE)</f>
        <v>1.4999999999999999E-2</v>
      </c>
    </row>
    <row r="59" spans="1:12" x14ac:dyDescent="0.3">
      <c r="A59" t="s">
        <v>72</v>
      </c>
      <c r="B59">
        <v>59</v>
      </c>
      <c r="C59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  <c r="I59" t="str">
        <f>_xlfn.IFNA(VLOOKUP(C59,merchants!$A$2:$D$41,2,FALSE),"Merchant not found")</f>
        <v>Merchant_011</v>
      </c>
      <c r="J59" t="str">
        <f>_xlfn.IFNA(VLOOKUP(C59,merchants!$A$2:$D$41,3,FALSE),"Merchant not found")</f>
        <v>ecommerce</v>
      </c>
      <c r="K59" t="str">
        <f>_xlfn.IFNA(VLOOKUP(C59,merchants!$A$2:$D$41,4,FALSE),"Merchant not found")</f>
        <v>North</v>
      </c>
      <c r="L59" s="2">
        <f>HLOOKUP(F59,Fees!$B$1:$E$2,2,FALSE)</f>
        <v>0</v>
      </c>
    </row>
    <row r="60" spans="1:12" x14ac:dyDescent="0.3">
      <c r="A60" t="s">
        <v>73</v>
      </c>
      <c r="B60">
        <v>160</v>
      </c>
      <c r="C60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  <c r="I60" t="str">
        <f>_xlfn.IFNA(VLOOKUP(C60,merchants!$A$2:$D$41,2,FALSE),"Merchant not found")</f>
        <v>Merchant_037</v>
      </c>
      <c r="J60" t="str">
        <f>_xlfn.IFNA(VLOOKUP(C60,merchants!$A$2:$D$41,3,FALSE),"Merchant not found")</f>
        <v>entertainment</v>
      </c>
      <c r="K60" t="str">
        <f>_xlfn.IFNA(VLOOKUP(C60,merchants!$A$2:$D$41,4,FALSE),"Merchant not found")</f>
        <v>South</v>
      </c>
      <c r="L60" s="2">
        <f>HLOOKUP(F60,Fees!$B$1:$E$2,2,FALSE)</f>
        <v>1.4999999999999999E-2</v>
      </c>
    </row>
    <row r="61" spans="1:12" x14ac:dyDescent="0.3">
      <c r="A61" t="s">
        <v>74</v>
      </c>
      <c r="B61">
        <v>102</v>
      </c>
      <c r="C61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  <c r="I61" t="str">
        <f>_xlfn.IFNA(VLOOKUP(C61,merchants!$A$2:$D$41,2,FALSE),"Merchant not found")</f>
        <v>Merchant_005</v>
      </c>
      <c r="J61" t="str">
        <f>_xlfn.IFNA(VLOOKUP(C61,merchants!$A$2:$D$41,3,FALSE),"Merchant not found")</f>
        <v>recharge</v>
      </c>
      <c r="K61" t="str">
        <f>_xlfn.IFNA(VLOOKUP(C61,merchants!$A$2:$D$41,4,FALSE),"Merchant not found")</f>
        <v>South</v>
      </c>
      <c r="L61" s="2">
        <f>HLOOKUP(F61,Fees!$B$1:$E$2,2,FALSE)</f>
        <v>0</v>
      </c>
    </row>
    <row r="62" spans="1:12" x14ac:dyDescent="0.3">
      <c r="A62" t="s">
        <v>75</v>
      </c>
      <c r="B62">
        <v>53</v>
      </c>
      <c r="C6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  <c r="I62" t="str">
        <f>_xlfn.IFNA(VLOOKUP(C62,merchants!$A$2:$D$41,2,FALSE),"Merchant not found")</f>
        <v>Merchant_020</v>
      </c>
      <c r="J62" t="str">
        <f>_xlfn.IFNA(VLOOKUP(C62,merchants!$A$2:$D$41,3,FALSE),"Merchant not found")</f>
        <v>food_delivery</v>
      </c>
      <c r="K62" t="str">
        <f>_xlfn.IFNA(VLOOKUP(C62,merchants!$A$2:$D$41,4,FALSE),"Merchant not found")</f>
        <v>East</v>
      </c>
      <c r="L62" s="2">
        <f>HLOOKUP(F62,Fees!$B$1:$E$2,2,FALSE)</f>
        <v>0.01</v>
      </c>
    </row>
    <row r="63" spans="1:12" x14ac:dyDescent="0.3">
      <c r="A63" t="s">
        <v>76</v>
      </c>
      <c r="B63">
        <v>290</v>
      </c>
      <c r="C63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  <c r="I63" t="str">
        <f>_xlfn.IFNA(VLOOKUP(C63,merchants!$A$2:$D$41,2,FALSE),"Merchant not found")</f>
        <v>Merchant_003</v>
      </c>
      <c r="J63" t="str">
        <f>_xlfn.IFNA(VLOOKUP(C63,merchants!$A$2:$D$41,3,FALSE),"Merchant not found")</f>
        <v>grocery</v>
      </c>
      <c r="K63" t="str">
        <f>_xlfn.IFNA(VLOOKUP(C63,merchants!$A$2:$D$41,4,FALSE),"Merchant not found")</f>
        <v>East</v>
      </c>
      <c r="L63" s="2">
        <f>HLOOKUP(F63,Fees!$B$1:$E$2,2,FALSE)</f>
        <v>1.4999999999999999E-2</v>
      </c>
    </row>
    <row r="64" spans="1:12" x14ac:dyDescent="0.3">
      <c r="A64" t="s">
        <v>77</v>
      </c>
      <c r="B64">
        <v>190</v>
      </c>
      <c r="C64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  <c r="I64" t="str">
        <f>_xlfn.IFNA(VLOOKUP(C64,merchants!$A$2:$D$41,2,FALSE),"Merchant not found")</f>
        <v>Merchant_005</v>
      </c>
      <c r="J64" t="str">
        <f>_xlfn.IFNA(VLOOKUP(C64,merchants!$A$2:$D$41,3,FALSE),"Merchant not found")</f>
        <v>recharge</v>
      </c>
      <c r="K64" t="str">
        <f>_xlfn.IFNA(VLOOKUP(C64,merchants!$A$2:$D$41,4,FALSE),"Merchant not found")</f>
        <v>South</v>
      </c>
      <c r="L64" s="2">
        <f>HLOOKUP(F64,Fees!$B$1:$E$2,2,FALSE)</f>
        <v>0</v>
      </c>
    </row>
    <row r="65" spans="1:12" x14ac:dyDescent="0.3">
      <c r="A65" t="s">
        <v>78</v>
      </c>
      <c r="B65">
        <v>216</v>
      </c>
      <c r="C65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  <c r="I65" t="str">
        <f>_xlfn.IFNA(VLOOKUP(C65,merchants!$A$2:$D$41,2,FALSE),"Merchant not found")</f>
        <v>Merchant_032</v>
      </c>
      <c r="J65" t="str">
        <f>_xlfn.IFNA(VLOOKUP(C65,merchants!$A$2:$D$41,3,FALSE),"Merchant not found")</f>
        <v>food_delivery</v>
      </c>
      <c r="K65" t="str">
        <f>_xlfn.IFNA(VLOOKUP(C65,merchants!$A$2:$D$41,4,FALSE),"Merchant not found")</f>
        <v>West</v>
      </c>
      <c r="L65" s="2">
        <f>HLOOKUP(F65,Fees!$B$1:$E$2,2,FALSE)</f>
        <v>0.02</v>
      </c>
    </row>
    <row r="66" spans="1:12" x14ac:dyDescent="0.3">
      <c r="A66" t="s">
        <v>79</v>
      </c>
      <c r="B66">
        <v>236</v>
      </c>
      <c r="C66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  <c r="I66" t="str">
        <f>_xlfn.IFNA(VLOOKUP(C66,merchants!$A$2:$D$41,2,FALSE),"Merchant not found")</f>
        <v>Merchant_010</v>
      </c>
      <c r="J66" t="str">
        <f>_xlfn.IFNA(VLOOKUP(C66,merchants!$A$2:$D$41,3,FALSE),"Merchant not found")</f>
        <v>grocery</v>
      </c>
      <c r="K66" t="str">
        <f>_xlfn.IFNA(VLOOKUP(C66,merchants!$A$2:$D$41,4,FALSE),"Merchant not found")</f>
        <v>West</v>
      </c>
      <c r="L66" s="2">
        <f>HLOOKUP(F66,Fees!$B$1:$E$2,2,FALSE)</f>
        <v>0</v>
      </c>
    </row>
    <row r="67" spans="1:12" x14ac:dyDescent="0.3">
      <c r="A67" t="s">
        <v>80</v>
      </c>
      <c r="B67">
        <v>334</v>
      </c>
      <c r="C67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  <c r="I67" t="str">
        <f>_xlfn.IFNA(VLOOKUP(C67,merchants!$A$2:$D$41,2,FALSE),"Merchant not found")</f>
        <v>Merchant_018</v>
      </c>
      <c r="J67" t="str">
        <f>_xlfn.IFNA(VLOOKUP(C67,merchants!$A$2:$D$41,3,FALSE),"Merchant not found")</f>
        <v>grocery</v>
      </c>
      <c r="K67" t="str">
        <f>_xlfn.IFNA(VLOOKUP(C67,merchants!$A$2:$D$41,4,FALSE),"Merchant not found")</f>
        <v>West</v>
      </c>
      <c r="L67" s="2">
        <f>HLOOKUP(F67,Fees!$B$1:$E$2,2,FALSE)</f>
        <v>0.02</v>
      </c>
    </row>
    <row r="68" spans="1:12" x14ac:dyDescent="0.3">
      <c r="A68" t="s">
        <v>81</v>
      </c>
      <c r="B68">
        <v>248</v>
      </c>
      <c r="C68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  <c r="I68" t="str">
        <f>_xlfn.IFNA(VLOOKUP(C68,merchants!$A$2:$D$41,2,FALSE),"Merchant not found")</f>
        <v>Merchant_030</v>
      </c>
      <c r="J68" t="str">
        <f>_xlfn.IFNA(VLOOKUP(C68,merchants!$A$2:$D$41,3,FALSE),"Merchant not found")</f>
        <v>travel</v>
      </c>
      <c r="K68" t="str">
        <f>_xlfn.IFNA(VLOOKUP(C68,merchants!$A$2:$D$41,4,FALSE),"Merchant not found")</f>
        <v>West</v>
      </c>
      <c r="L68" s="2">
        <f>HLOOKUP(F68,Fees!$B$1:$E$2,2,FALSE)</f>
        <v>1.4999999999999999E-2</v>
      </c>
    </row>
    <row r="69" spans="1:12" x14ac:dyDescent="0.3">
      <c r="A69" t="s">
        <v>82</v>
      </c>
      <c r="B69">
        <v>138</v>
      </c>
      <c r="C69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  <c r="I69" t="str">
        <f>_xlfn.IFNA(VLOOKUP(C69,merchants!$A$2:$D$41,2,FALSE),"Merchant not found")</f>
        <v>Merchant_021</v>
      </c>
      <c r="J69" t="str">
        <f>_xlfn.IFNA(VLOOKUP(C69,merchants!$A$2:$D$41,3,FALSE),"Merchant not found")</f>
        <v>food_delivery</v>
      </c>
      <c r="K69" t="str">
        <f>_xlfn.IFNA(VLOOKUP(C69,merchants!$A$2:$D$41,4,FALSE),"Merchant not found")</f>
        <v>East</v>
      </c>
      <c r="L69" s="2">
        <f>HLOOKUP(F69,Fees!$B$1:$E$2,2,FALSE)</f>
        <v>0.02</v>
      </c>
    </row>
    <row r="70" spans="1:12" x14ac:dyDescent="0.3">
      <c r="A70" t="s">
        <v>83</v>
      </c>
      <c r="B70">
        <v>231</v>
      </c>
      <c r="C70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  <c r="I70" t="str">
        <f>_xlfn.IFNA(VLOOKUP(C70,merchants!$A$2:$D$41,2,FALSE),"Merchant not found")</f>
        <v>Merchant_016</v>
      </c>
      <c r="J70" t="str">
        <f>_xlfn.IFNA(VLOOKUP(C70,merchants!$A$2:$D$41,3,FALSE),"Merchant not found")</f>
        <v>bill_payment</v>
      </c>
      <c r="K70" t="str">
        <f>_xlfn.IFNA(VLOOKUP(C70,merchants!$A$2:$D$41,4,FALSE),"Merchant not found")</f>
        <v>West</v>
      </c>
      <c r="L70" s="2">
        <f>HLOOKUP(F70,Fees!$B$1:$E$2,2,FALSE)</f>
        <v>0</v>
      </c>
    </row>
    <row r="71" spans="1:12" x14ac:dyDescent="0.3">
      <c r="A71" t="s">
        <v>84</v>
      </c>
      <c r="B71">
        <v>343</v>
      </c>
      <c r="C71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  <c r="I71" t="str">
        <f>_xlfn.IFNA(VLOOKUP(C71,merchants!$A$2:$D$41,2,FALSE),"Merchant not found")</f>
        <v>Merchant_025</v>
      </c>
      <c r="J71" t="str">
        <f>_xlfn.IFNA(VLOOKUP(C71,merchants!$A$2:$D$41,3,FALSE),"Merchant not found")</f>
        <v>travel</v>
      </c>
      <c r="K71" t="str">
        <f>_xlfn.IFNA(VLOOKUP(C71,merchants!$A$2:$D$41,4,FALSE),"Merchant not found")</f>
        <v>South</v>
      </c>
      <c r="L71" s="2">
        <f>HLOOKUP(F71,Fees!$B$1:$E$2,2,FALSE)</f>
        <v>0</v>
      </c>
    </row>
    <row r="72" spans="1:12" x14ac:dyDescent="0.3">
      <c r="A72" t="s">
        <v>85</v>
      </c>
      <c r="B72">
        <v>167</v>
      </c>
      <c r="C7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  <c r="I72" t="str">
        <f>_xlfn.IFNA(VLOOKUP(C72,merchants!$A$2:$D$41,2,FALSE),"Merchant not found")</f>
        <v>Merchant_012</v>
      </c>
      <c r="J72" t="str">
        <f>_xlfn.IFNA(VLOOKUP(C72,merchants!$A$2:$D$41,3,FALSE),"Merchant not found")</f>
        <v>ecommerce</v>
      </c>
      <c r="K72" t="str">
        <f>_xlfn.IFNA(VLOOKUP(C72,merchants!$A$2:$D$41,4,FALSE),"Merchant not found")</f>
        <v>East</v>
      </c>
      <c r="L72" s="2">
        <f>HLOOKUP(F72,Fees!$B$1:$E$2,2,FALSE)</f>
        <v>1.4999999999999999E-2</v>
      </c>
    </row>
    <row r="73" spans="1:12" x14ac:dyDescent="0.3">
      <c r="A73" t="s">
        <v>86</v>
      </c>
      <c r="B73">
        <v>133</v>
      </c>
      <c r="C73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  <c r="I73" t="str">
        <f>_xlfn.IFNA(VLOOKUP(C73,merchants!$A$2:$D$41,2,FALSE),"Merchant not found")</f>
        <v>Merchant_022</v>
      </c>
      <c r="J73" t="str">
        <f>_xlfn.IFNA(VLOOKUP(C73,merchants!$A$2:$D$41,3,FALSE),"Merchant not found")</f>
        <v>travel</v>
      </c>
      <c r="K73" t="str">
        <f>_xlfn.IFNA(VLOOKUP(C73,merchants!$A$2:$D$41,4,FALSE),"Merchant not found")</f>
        <v>South</v>
      </c>
      <c r="L73" s="2">
        <f>HLOOKUP(F73,Fees!$B$1:$E$2,2,FALSE)</f>
        <v>0</v>
      </c>
    </row>
    <row r="74" spans="1:12" x14ac:dyDescent="0.3">
      <c r="A74" t="s">
        <v>87</v>
      </c>
      <c r="B74">
        <v>142</v>
      </c>
      <c r="C74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  <c r="I74" t="str">
        <f>_xlfn.IFNA(VLOOKUP(C74,merchants!$A$2:$D$41,2,FALSE),"Merchant not found")</f>
        <v>Merchant_036</v>
      </c>
      <c r="J74" t="str">
        <f>_xlfn.IFNA(VLOOKUP(C74,merchants!$A$2:$D$41,3,FALSE),"Merchant not found")</f>
        <v>entertainment</v>
      </c>
      <c r="K74" t="str">
        <f>_xlfn.IFNA(VLOOKUP(C74,merchants!$A$2:$D$41,4,FALSE),"Merchant not found")</f>
        <v>East</v>
      </c>
      <c r="L74" s="2">
        <f>HLOOKUP(F74,Fees!$B$1:$E$2,2,FALSE)</f>
        <v>1.4999999999999999E-2</v>
      </c>
    </row>
    <row r="75" spans="1:12" x14ac:dyDescent="0.3">
      <c r="A75" t="s">
        <v>88</v>
      </c>
      <c r="B75">
        <v>124</v>
      </c>
      <c r="C75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  <c r="I75" t="str">
        <f>_xlfn.IFNA(VLOOKUP(C75,merchants!$A$2:$D$41,2,FALSE),"Merchant not found")</f>
        <v>Merchant_027</v>
      </c>
      <c r="J75" t="str">
        <f>_xlfn.IFNA(VLOOKUP(C75,merchants!$A$2:$D$41,3,FALSE),"Merchant not found")</f>
        <v>ecommerce</v>
      </c>
      <c r="K75" t="str">
        <f>_xlfn.IFNA(VLOOKUP(C75,merchants!$A$2:$D$41,4,FALSE),"Merchant not found")</f>
        <v>North</v>
      </c>
      <c r="L75" s="2">
        <f>HLOOKUP(F75,Fees!$B$1:$E$2,2,FALSE)</f>
        <v>1.4999999999999999E-2</v>
      </c>
    </row>
    <row r="76" spans="1:12" x14ac:dyDescent="0.3">
      <c r="A76" t="s">
        <v>89</v>
      </c>
      <c r="B76">
        <v>244</v>
      </c>
      <c r="C76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  <c r="I76" t="str">
        <f>_xlfn.IFNA(VLOOKUP(C76,merchants!$A$2:$D$41,2,FALSE),"Merchant not found")</f>
        <v>Merchant_032</v>
      </c>
      <c r="J76" t="str">
        <f>_xlfn.IFNA(VLOOKUP(C76,merchants!$A$2:$D$41,3,FALSE),"Merchant not found")</f>
        <v>food_delivery</v>
      </c>
      <c r="K76" t="str">
        <f>_xlfn.IFNA(VLOOKUP(C76,merchants!$A$2:$D$41,4,FALSE),"Merchant not found")</f>
        <v>West</v>
      </c>
      <c r="L76" s="2">
        <f>HLOOKUP(F76,Fees!$B$1:$E$2,2,FALSE)</f>
        <v>0</v>
      </c>
    </row>
    <row r="77" spans="1:12" x14ac:dyDescent="0.3">
      <c r="A77" t="s">
        <v>90</v>
      </c>
      <c r="B77">
        <v>151</v>
      </c>
      <c r="C77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  <c r="I77" t="str">
        <f>_xlfn.IFNA(VLOOKUP(C77,merchants!$A$2:$D$41,2,FALSE),"Merchant not found")</f>
        <v>Merchant_015</v>
      </c>
      <c r="J77" t="str">
        <f>_xlfn.IFNA(VLOOKUP(C77,merchants!$A$2:$D$41,3,FALSE),"Merchant not found")</f>
        <v>travel</v>
      </c>
      <c r="K77" t="str">
        <f>_xlfn.IFNA(VLOOKUP(C77,merchants!$A$2:$D$41,4,FALSE),"Merchant not found")</f>
        <v>North</v>
      </c>
      <c r="L77" s="2">
        <f>HLOOKUP(F77,Fees!$B$1:$E$2,2,FALSE)</f>
        <v>0</v>
      </c>
    </row>
    <row r="78" spans="1:12" x14ac:dyDescent="0.3">
      <c r="A78" t="s">
        <v>91</v>
      </c>
      <c r="B78">
        <v>340</v>
      </c>
      <c r="C78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  <c r="I78" t="str">
        <f>_xlfn.IFNA(VLOOKUP(C78,merchants!$A$2:$D$41,2,FALSE),"Merchant not found")</f>
        <v>Merchant_038</v>
      </c>
      <c r="J78" t="str">
        <f>_xlfn.IFNA(VLOOKUP(C78,merchants!$A$2:$D$41,3,FALSE),"Merchant not found")</f>
        <v>grocery</v>
      </c>
      <c r="K78" t="str">
        <f>_xlfn.IFNA(VLOOKUP(C78,merchants!$A$2:$D$41,4,FALSE),"Merchant not found")</f>
        <v>East</v>
      </c>
      <c r="L78" s="2">
        <f>HLOOKUP(F78,Fees!$B$1:$E$2,2,FALSE)</f>
        <v>0.02</v>
      </c>
    </row>
    <row r="79" spans="1:12" x14ac:dyDescent="0.3">
      <c r="A79" t="s">
        <v>92</v>
      </c>
      <c r="B79">
        <v>177</v>
      </c>
      <c r="C79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  <c r="I79" t="str">
        <f>_xlfn.IFNA(VLOOKUP(C79,merchants!$A$2:$D$41,2,FALSE),"Merchant not found")</f>
        <v>Merchant_028</v>
      </c>
      <c r="J79" t="str">
        <f>_xlfn.IFNA(VLOOKUP(C79,merchants!$A$2:$D$41,3,FALSE),"Merchant not found")</f>
        <v>ecommerce</v>
      </c>
      <c r="K79" t="str">
        <f>_xlfn.IFNA(VLOOKUP(C79,merchants!$A$2:$D$41,4,FALSE),"Merchant not found")</f>
        <v>South</v>
      </c>
      <c r="L79" s="2">
        <f>HLOOKUP(F79,Fees!$B$1:$E$2,2,FALSE)</f>
        <v>0</v>
      </c>
    </row>
    <row r="80" spans="1:12" x14ac:dyDescent="0.3">
      <c r="A80" t="s">
        <v>93</v>
      </c>
      <c r="B80">
        <v>233</v>
      </c>
      <c r="C80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  <c r="I80" t="str">
        <f>_xlfn.IFNA(VLOOKUP(C80,merchants!$A$2:$D$41,2,FALSE),"Merchant not found")</f>
        <v>Merchant_018</v>
      </c>
      <c r="J80" t="str">
        <f>_xlfn.IFNA(VLOOKUP(C80,merchants!$A$2:$D$41,3,FALSE),"Merchant not found")</f>
        <v>grocery</v>
      </c>
      <c r="K80" t="str">
        <f>_xlfn.IFNA(VLOOKUP(C80,merchants!$A$2:$D$41,4,FALSE),"Merchant not found")</f>
        <v>West</v>
      </c>
      <c r="L80" s="2">
        <f>HLOOKUP(F80,Fees!$B$1:$E$2,2,FALSE)</f>
        <v>0</v>
      </c>
    </row>
    <row r="81" spans="1:12" x14ac:dyDescent="0.3">
      <c r="A81" t="s">
        <v>94</v>
      </c>
      <c r="B81">
        <v>99</v>
      </c>
      <c r="C81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  <c r="I81" t="str">
        <f>_xlfn.IFNA(VLOOKUP(C81,merchants!$A$2:$D$41,2,FALSE),"Merchant not found")</f>
        <v>Merchant_021</v>
      </c>
      <c r="J81" t="str">
        <f>_xlfn.IFNA(VLOOKUP(C81,merchants!$A$2:$D$41,3,FALSE),"Merchant not found")</f>
        <v>food_delivery</v>
      </c>
      <c r="K81" t="str">
        <f>_xlfn.IFNA(VLOOKUP(C81,merchants!$A$2:$D$41,4,FALSE),"Merchant not found")</f>
        <v>East</v>
      </c>
      <c r="L81" s="2">
        <f>HLOOKUP(F81,Fees!$B$1:$E$2,2,FALSE)</f>
        <v>0</v>
      </c>
    </row>
    <row r="82" spans="1:12" x14ac:dyDescent="0.3">
      <c r="A82" t="s">
        <v>95</v>
      </c>
      <c r="B82">
        <v>95</v>
      </c>
      <c r="C8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  <c r="I82" t="str">
        <f>_xlfn.IFNA(VLOOKUP(C82,merchants!$A$2:$D$41,2,FALSE),"Merchant not found")</f>
        <v>Merchant_013</v>
      </c>
      <c r="J82" t="str">
        <f>_xlfn.IFNA(VLOOKUP(C82,merchants!$A$2:$D$41,3,FALSE),"Merchant not found")</f>
        <v>travel</v>
      </c>
      <c r="K82" t="str">
        <f>_xlfn.IFNA(VLOOKUP(C82,merchants!$A$2:$D$41,4,FALSE),"Merchant not found")</f>
        <v>East</v>
      </c>
      <c r="L82" s="2">
        <f>HLOOKUP(F82,Fees!$B$1:$E$2,2,FALSE)</f>
        <v>0.01</v>
      </c>
    </row>
    <row r="83" spans="1:12" x14ac:dyDescent="0.3">
      <c r="A83" t="s">
        <v>96</v>
      </c>
      <c r="B83">
        <v>302</v>
      </c>
      <c r="C83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  <c r="I83" t="str">
        <f>_xlfn.IFNA(VLOOKUP(C83,merchants!$A$2:$D$41,2,FALSE),"Merchant not found")</f>
        <v>Merchant_034</v>
      </c>
      <c r="J83" t="str">
        <f>_xlfn.IFNA(VLOOKUP(C83,merchants!$A$2:$D$41,3,FALSE),"Merchant not found")</f>
        <v>travel</v>
      </c>
      <c r="K83" t="str">
        <f>_xlfn.IFNA(VLOOKUP(C83,merchants!$A$2:$D$41,4,FALSE),"Merchant not found")</f>
        <v>South</v>
      </c>
      <c r="L83" s="2">
        <f>HLOOKUP(F83,Fees!$B$1:$E$2,2,FALSE)</f>
        <v>0.01</v>
      </c>
    </row>
    <row r="84" spans="1:12" x14ac:dyDescent="0.3">
      <c r="A84" t="s">
        <v>97</v>
      </c>
      <c r="B84">
        <v>100</v>
      </c>
      <c r="C84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  <c r="I84" t="str">
        <f>_xlfn.IFNA(VLOOKUP(C84,merchants!$A$2:$D$41,2,FALSE),"Merchant not found")</f>
        <v>Merchant_019</v>
      </c>
      <c r="J84" t="str">
        <f>_xlfn.IFNA(VLOOKUP(C84,merchants!$A$2:$D$41,3,FALSE),"Merchant not found")</f>
        <v>grocery</v>
      </c>
      <c r="K84" t="str">
        <f>_xlfn.IFNA(VLOOKUP(C84,merchants!$A$2:$D$41,4,FALSE),"Merchant not found")</f>
        <v>North</v>
      </c>
      <c r="L84" s="2">
        <f>HLOOKUP(F84,Fees!$B$1:$E$2,2,FALSE)</f>
        <v>0.01</v>
      </c>
    </row>
    <row r="85" spans="1:12" x14ac:dyDescent="0.3">
      <c r="A85" t="s">
        <v>98</v>
      </c>
      <c r="B85">
        <v>8</v>
      </c>
      <c r="C85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  <c r="I85" t="str">
        <f>_xlfn.IFNA(VLOOKUP(C85,merchants!$A$2:$D$41,2,FALSE),"Merchant not found")</f>
        <v>Merchant_035</v>
      </c>
      <c r="J85" t="str">
        <f>_xlfn.IFNA(VLOOKUP(C85,merchants!$A$2:$D$41,3,FALSE),"Merchant not found")</f>
        <v>recharge</v>
      </c>
      <c r="K85" t="str">
        <f>_xlfn.IFNA(VLOOKUP(C85,merchants!$A$2:$D$41,4,FALSE),"Merchant not found")</f>
        <v>East</v>
      </c>
      <c r="L85" s="2">
        <f>HLOOKUP(F85,Fees!$B$1:$E$2,2,FALSE)</f>
        <v>0</v>
      </c>
    </row>
    <row r="86" spans="1:12" x14ac:dyDescent="0.3">
      <c r="A86" t="s">
        <v>99</v>
      </c>
      <c r="B86">
        <v>284</v>
      </c>
      <c r="C86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  <c r="I86" t="str">
        <f>_xlfn.IFNA(VLOOKUP(C86,merchants!$A$2:$D$41,2,FALSE),"Merchant not found")</f>
        <v>Merchant_019</v>
      </c>
      <c r="J86" t="str">
        <f>_xlfn.IFNA(VLOOKUP(C86,merchants!$A$2:$D$41,3,FALSE),"Merchant not found")</f>
        <v>grocery</v>
      </c>
      <c r="K86" t="str">
        <f>_xlfn.IFNA(VLOOKUP(C86,merchants!$A$2:$D$41,4,FALSE),"Merchant not found")</f>
        <v>North</v>
      </c>
      <c r="L86" s="2">
        <f>HLOOKUP(F86,Fees!$B$1:$E$2,2,FALSE)</f>
        <v>0</v>
      </c>
    </row>
    <row r="87" spans="1:12" x14ac:dyDescent="0.3">
      <c r="A87" t="s">
        <v>100</v>
      </c>
      <c r="B87">
        <v>252</v>
      </c>
      <c r="C87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  <c r="I87" t="str">
        <f>_xlfn.IFNA(VLOOKUP(C87,merchants!$A$2:$D$41,2,FALSE),"Merchant not found")</f>
        <v>Merchant_007</v>
      </c>
      <c r="J87" t="str">
        <f>_xlfn.IFNA(VLOOKUP(C87,merchants!$A$2:$D$41,3,FALSE),"Merchant not found")</f>
        <v>food_delivery</v>
      </c>
      <c r="K87" t="str">
        <f>_xlfn.IFNA(VLOOKUP(C87,merchants!$A$2:$D$41,4,FALSE),"Merchant not found")</f>
        <v>East</v>
      </c>
      <c r="L87" s="2">
        <f>HLOOKUP(F87,Fees!$B$1:$E$2,2,FALSE)</f>
        <v>1.4999999999999999E-2</v>
      </c>
    </row>
    <row r="88" spans="1:12" x14ac:dyDescent="0.3">
      <c r="A88" t="s">
        <v>101</v>
      </c>
      <c r="B88">
        <v>246</v>
      </c>
      <c r="C88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  <c r="I88" t="str">
        <f>_xlfn.IFNA(VLOOKUP(C88,merchants!$A$2:$D$41,2,FALSE),"Merchant not found")</f>
        <v>Merchant_029</v>
      </c>
      <c r="J88" t="str">
        <f>_xlfn.IFNA(VLOOKUP(C88,merchants!$A$2:$D$41,3,FALSE),"Merchant not found")</f>
        <v>ecommerce</v>
      </c>
      <c r="K88" t="str">
        <f>_xlfn.IFNA(VLOOKUP(C88,merchants!$A$2:$D$41,4,FALSE),"Merchant not found")</f>
        <v>North</v>
      </c>
      <c r="L88" s="2">
        <f>HLOOKUP(F88,Fees!$B$1:$E$2,2,FALSE)</f>
        <v>1.4999999999999999E-2</v>
      </c>
    </row>
    <row r="89" spans="1:12" x14ac:dyDescent="0.3">
      <c r="A89" t="s">
        <v>102</v>
      </c>
      <c r="B89">
        <v>245</v>
      </c>
      <c r="C89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  <c r="I89" t="str">
        <f>_xlfn.IFNA(VLOOKUP(C89,merchants!$A$2:$D$41,2,FALSE),"Merchant not found")</f>
        <v>Merchant_008</v>
      </c>
      <c r="J89" t="str">
        <f>_xlfn.IFNA(VLOOKUP(C89,merchants!$A$2:$D$41,3,FALSE),"Merchant not found")</f>
        <v>food_delivery</v>
      </c>
      <c r="K89" t="str">
        <f>_xlfn.IFNA(VLOOKUP(C89,merchants!$A$2:$D$41,4,FALSE),"Merchant not found")</f>
        <v>North</v>
      </c>
      <c r="L89" s="2">
        <f>HLOOKUP(F89,Fees!$B$1:$E$2,2,FALSE)</f>
        <v>0</v>
      </c>
    </row>
    <row r="90" spans="1:12" x14ac:dyDescent="0.3">
      <c r="A90" t="s">
        <v>103</v>
      </c>
      <c r="B90">
        <v>296</v>
      </c>
      <c r="C90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  <c r="I90" t="str">
        <f>_xlfn.IFNA(VLOOKUP(C90,merchants!$A$2:$D$41,2,FALSE),"Merchant not found")</f>
        <v>Merchant_004</v>
      </c>
      <c r="J90" t="str">
        <f>_xlfn.IFNA(VLOOKUP(C90,merchants!$A$2:$D$41,3,FALSE),"Merchant not found")</f>
        <v>ecommerce</v>
      </c>
      <c r="K90" t="str">
        <f>_xlfn.IFNA(VLOOKUP(C90,merchants!$A$2:$D$41,4,FALSE),"Merchant not found")</f>
        <v>East</v>
      </c>
      <c r="L90" s="2">
        <f>HLOOKUP(F90,Fees!$B$1:$E$2,2,FALSE)</f>
        <v>1.4999999999999999E-2</v>
      </c>
    </row>
    <row r="91" spans="1:12" x14ac:dyDescent="0.3">
      <c r="A91" t="s">
        <v>104</v>
      </c>
      <c r="B91">
        <v>44</v>
      </c>
      <c r="C91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  <c r="I91" t="str">
        <f>_xlfn.IFNA(VLOOKUP(C91,merchants!$A$2:$D$41,2,FALSE),"Merchant not found")</f>
        <v>Merchant_016</v>
      </c>
      <c r="J91" t="str">
        <f>_xlfn.IFNA(VLOOKUP(C91,merchants!$A$2:$D$41,3,FALSE),"Merchant not found")</f>
        <v>bill_payment</v>
      </c>
      <c r="K91" t="str">
        <f>_xlfn.IFNA(VLOOKUP(C91,merchants!$A$2:$D$41,4,FALSE),"Merchant not found")</f>
        <v>West</v>
      </c>
      <c r="L91" s="2">
        <f>HLOOKUP(F91,Fees!$B$1:$E$2,2,FALSE)</f>
        <v>0</v>
      </c>
    </row>
    <row r="92" spans="1:12" x14ac:dyDescent="0.3">
      <c r="A92" t="s">
        <v>105</v>
      </c>
      <c r="B92">
        <v>306</v>
      </c>
      <c r="C9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  <c r="I92" t="str">
        <f>_xlfn.IFNA(VLOOKUP(C92,merchants!$A$2:$D$41,2,FALSE),"Merchant not found")</f>
        <v>Merchant_040</v>
      </c>
      <c r="J92" t="str">
        <f>_xlfn.IFNA(VLOOKUP(C92,merchants!$A$2:$D$41,3,FALSE),"Merchant not found")</f>
        <v>entertainment</v>
      </c>
      <c r="K92" t="str">
        <f>_xlfn.IFNA(VLOOKUP(C92,merchants!$A$2:$D$41,4,FALSE),"Merchant not found")</f>
        <v>South</v>
      </c>
      <c r="L92" s="2">
        <f>HLOOKUP(F92,Fees!$B$1:$E$2,2,FALSE)</f>
        <v>0.02</v>
      </c>
    </row>
    <row r="93" spans="1:12" x14ac:dyDescent="0.3">
      <c r="A93" t="s">
        <v>106</v>
      </c>
      <c r="B93">
        <v>231</v>
      </c>
      <c r="C93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  <c r="I93" t="str">
        <f>_xlfn.IFNA(VLOOKUP(C93,merchants!$A$2:$D$41,2,FALSE),"Merchant not found")</f>
        <v>Merchant_029</v>
      </c>
      <c r="J93" t="str">
        <f>_xlfn.IFNA(VLOOKUP(C93,merchants!$A$2:$D$41,3,FALSE),"Merchant not found")</f>
        <v>ecommerce</v>
      </c>
      <c r="K93" t="str">
        <f>_xlfn.IFNA(VLOOKUP(C93,merchants!$A$2:$D$41,4,FALSE),"Merchant not found")</f>
        <v>North</v>
      </c>
      <c r="L93" s="2">
        <f>HLOOKUP(F93,Fees!$B$1:$E$2,2,FALSE)</f>
        <v>0</v>
      </c>
    </row>
    <row r="94" spans="1:12" x14ac:dyDescent="0.3">
      <c r="A94" t="s">
        <v>107</v>
      </c>
      <c r="B94">
        <v>157</v>
      </c>
      <c r="C94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  <c r="I94" t="str">
        <f>_xlfn.IFNA(VLOOKUP(C94,merchants!$A$2:$D$41,2,FALSE),"Merchant not found")</f>
        <v>Merchant_037</v>
      </c>
      <c r="J94" t="str">
        <f>_xlfn.IFNA(VLOOKUP(C94,merchants!$A$2:$D$41,3,FALSE),"Merchant not found")</f>
        <v>entertainment</v>
      </c>
      <c r="K94" t="str">
        <f>_xlfn.IFNA(VLOOKUP(C94,merchants!$A$2:$D$41,4,FALSE),"Merchant not found")</f>
        <v>South</v>
      </c>
      <c r="L94" s="2">
        <f>HLOOKUP(F94,Fees!$B$1:$E$2,2,FALSE)</f>
        <v>1.4999999999999999E-2</v>
      </c>
    </row>
    <row r="95" spans="1:12" x14ac:dyDescent="0.3">
      <c r="A95" t="s">
        <v>108</v>
      </c>
      <c r="B95">
        <v>51</v>
      </c>
      <c r="C95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  <c r="I95" t="str">
        <f>_xlfn.IFNA(VLOOKUP(C95,merchants!$A$2:$D$41,2,FALSE),"Merchant not found")</f>
        <v>Merchant_014</v>
      </c>
      <c r="J95" t="str">
        <f>_xlfn.IFNA(VLOOKUP(C95,merchants!$A$2:$D$41,3,FALSE),"Merchant not found")</f>
        <v>grocery</v>
      </c>
      <c r="K95" t="str">
        <f>_xlfn.IFNA(VLOOKUP(C95,merchants!$A$2:$D$41,4,FALSE),"Merchant not found")</f>
        <v>East</v>
      </c>
      <c r="L95" s="2">
        <f>HLOOKUP(F95,Fees!$B$1:$E$2,2,FALSE)</f>
        <v>0</v>
      </c>
    </row>
    <row r="96" spans="1:12" x14ac:dyDescent="0.3">
      <c r="A96" t="s">
        <v>109</v>
      </c>
      <c r="B96">
        <v>42</v>
      </c>
      <c r="C96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  <c r="I96" t="str">
        <f>_xlfn.IFNA(VLOOKUP(C96,merchants!$A$2:$D$41,2,FALSE),"Merchant not found")</f>
        <v>Merchant_011</v>
      </c>
      <c r="J96" t="str">
        <f>_xlfn.IFNA(VLOOKUP(C96,merchants!$A$2:$D$41,3,FALSE),"Merchant not found")</f>
        <v>ecommerce</v>
      </c>
      <c r="K96" t="str">
        <f>_xlfn.IFNA(VLOOKUP(C96,merchants!$A$2:$D$41,4,FALSE),"Merchant not found")</f>
        <v>North</v>
      </c>
      <c r="L96" s="2">
        <f>HLOOKUP(F96,Fees!$B$1:$E$2,2,FALSE)</f>
        <v>1.4999999999999999E-2</v>
      </c>
    </row>
    <row r="97" spans="1:12" x14ac:dyDescent="0.3">
      <c r="A97" t="s">
        <v>110</v>
      </c>
      <c r="B97">
        <v>81</v>
      </c>
      <c r="C97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  <c r="I97" t="str">
        <f>_xlfn.IFNA(VLOOKUP(C97,merchants!$A$2:$D$41,2,FALSE),"Merchant not found")</f>
        <v>Merchant_001</v>
      </c>
      <c r="J97" t="str">
        <f>_xlfn.IFNA(VLOOKUP(C97,merchants!$A$2:$D$41,3,FALSE),"Merchant not found")</f>
        <v>ecommerce</v>
      </c>
      <c r="K97" t="str">
        <f>_xlfn.IFNA(VLOOKUP(C97,merchants!$A$2:$D$41,4,FALSE),"Merchant not found")</f>
        <v>South</v>
      </c>
      <c r="L97" s="2">
        <f>HLOOKUP(F97,Fees!$B$1:$E$2,2,FALSE)</f>
        <v>0</v>
      </c>
    </row>
    <row r="98" spans="1:12" x14ac:dyDescent="0.3">
      <c r="A98" t="s">
        <v>111</v>
      </c>
      <c r="B98">
        <v>241</v>
      </c>
      <c r="C98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  <c r="I98" t="str">
        <f>_xlfn.IFNA(VLOOKUP(C98,merchants!$A$2:$D$41,2,FALSE),"Merchant not found")</f>
        <v>Merchant_019</v>
      </c>
      <c r="J98" t="str">
        <f>_xlfn.IFNA(VLOOKUP(C98,merchants!$A$2:$D$41,3,FALSE),"Merchant not found")</f>
        <v>grocery</v>
      </c>
      <c r="K98" t="str">
        <f>_xlfn.IFNA(VLOOKUP(C98,merchants!$A$2:$D$41,4,FALSE),"Merchant not found")</f>
        <v>North</v>
      </c>
      <c r="L98" s="2">
        <f>HLOOKUP(F98,Fees!$B$1:$E$2,2,FALSE)</f>
        <v>0</v>
      </c>
    </row>
    <row r="99" spans="1:12" x14ac:dyDescent="0.3">
      <c r="A99" t="s">
        <v>112</v>
      </c>
      <c r="B99">
        <v>145</v>
      </c>
      <c r="C99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  <c r="I99" t="str">
        <f>_xlfn.IFNA(VLOOKUP(C99,merchants!$A$2:$D$41,2,FALSE),"Merchant not found")</f>
        <v>Merchant_030</v>
      </c>
      <c r="J99" t="str">
        <f>_xlfn.IFNA(VLOOKUP(C99,merchants!$A$2:$D$41,3,FALSE),"Merchant not found")</f>
        <v>travel</v>
      </c>
      <c r="K99" t="str">
        <f>_xlfn.IFNA(VLOOKUP(C99,merchants!$A$2:$D$41,4,FALSE),"Merchant not found")</f>
        <v>West</v>
      </c>
      <c r="L99" s="2">
        <f>HLOOKUP(F99,Fees!$B$1:$E$2,2,FALSE)</f>
        <v>0</v>
      </c>
    </row>
    <row r="100" spans="1:12" x14ac:dyDescent="0.3">
      <c r="A100" t="s">
        <v>113</v>
      </c>
      <c r="B100">
        <v>136</v>
      </c>
      <c r="C100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  <c r="I100" t="str">
        <f>_xlfn.IFNA(VLOOKUP(C100,merchants!$A$2:$D$41,2,FALSE),"Merchant not found")</f>
        <v>Merchant_038</v>
      </c>
      <c r="J100" t="str">
        <f>_xlfn.IFNA(VLOOKUP(C100,merchants!$A$2:$D$41,3,FALSE),"Merchant not found")</f>
        <v>grocery</v>
      </c>
      <c r="K100" t="str">
        <f>_xlfn.IFNA(VLOOKUP(C100,merchants!$A$2:$D$41,4,FALSE),"Merchant not found")</f>
        <v>East</v>
      </c>
      <c r="L100" s="2">
        <f>HLOOKUP(F100,Fees!$B$1:$E$2,2,FALSE)</f>
        <v>0.02</v>
      </c>
    </row>
    <row r="101" spans="1:12" x14ac:dyDescent="0.3">
      <c r="A101" t="s">
        <v>114</v>
      </c>
      <c r="B101">
        <v>59</v>
      </c>
      <c r="C101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  <c r="I101" t="str">
        <f>_xlfn.IFNA(VLOOKUP(C101,merchants!$A$2:$D$41,2,FALSE),"Merchant not found")</f>
        <v>Merchant_035</v>
      </c>
      <c r="J101" t="str">
        <f>_xlfn.IFNA(VLOOKUP(C101,merchants!$A$2:$D$41,3,FALSE),"Merchant not found")</f>
        <v>recharge</v>
      </c>
      <c r="K101" t="str">
        <f>_xlfn.IFNA(VLOOKUP(C101,merchants!$A$2:$D$41,4,FALSE),"Merchant not found")</f>
        <v>East</v>
      </c>
      <c r="L101" s="2">
        <f>HLOOKUP(F101,Fees!$B$1:$E$2,2,FALSE)</f>
        <v>0</v>
      </c>
    </row>
    <row r="102" spans="1:12" x14ac:dyDescent="0.3">
      <c r="A102" t="s">
        <v>115</v>
      </c>
      <c r="B102">
        <v>137</v>
      </c>
      <c r="C10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  <c r="I102" t="str">
        <f>_xlfn.IFNA(VLOOKUP(C102,merchants!$A$2:$D$41,2,FALSE),"Merchant not found")</f>
        <v>Merchant_010</v>
      </c>
      <c r="J102" t="str">
        <f>_xlfn.IFNA(VLOOKUP(C102,merchants!$A$2:$D$41,3,FALSE),"Merchant not found")</f>
        <v>grocery</v>
      </c>
      <c r="K102" t="str">
        <f>_xlfn.IFNA(VLOOKUP(C102,merchants!$A$2:$D$41,4,FALSE),"Merchant not found")</f>
        <v>West</v>
      </c>
      <c r="L102" s="2">
        <f>HLOOKUP(F102,Fees!$B$1:$E$2,2,FALSE)</f>
        <v>0</v>
      </c>
    </row>
    <row r="103" spans="1:12" x14ac:dyDescent="0.3">
      <c r="A103" t="s">
        <v>116</v>
      </c>
      <c r="B103">
        <v>158</v>
      </c>
      <c r="C103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  <c r="I103" t="str">
        <f>_xlfn.IFNA(VLOOKUP(C103,merchants!$A$2:$D$41,2,FALSE),"Merchant not found")</f>
        <v>Merchant_039</v>
      </c>
      <c r="J103" t="str">
        <f>_xlfn.IFNA(VLOOKUP(C103,merchants!$A$2:$D$41,3,FALSE),"Merchant not found")</f>
        <v>entertainment</v>
      </c>
      <c r="K103" t="str">
        <f>_xlfn.IFNA(VLOOKUP(C103,merchants!$A$2:$D$41,4,FALSE),"Merchant not found")</f>
        <v>North</v>
      </c>
      <c r="L103" s="2">
        <f>HLOOKUP(F103,Fees!$B$1:$E$2,2,FALSE)</f>
        <v>0.01</v>
      </c>
    </row>
    <row r="104" spans="1:12" x14ac:dyDescent="0.3">
      <c r="A104" t="s">
        <v>117</v>
      </c>
      <c r="B104">
        <v>148</v>
      </c>
      <c r="C104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  <c r="I104" t="str">
        <f>_xlfn.IFNA(VLOOKUP(C104,merchants!$A$2:$D$41,2,FALSE),"Merchant not found")</f>
        <v>Merchant_029</v>
      </c>
      <c r="J104" t="str">
        <f>_xlfn.IFNA(VLOOKUP(C104,merchants!$A$2:$D$41,3,FALSE),"Merchant not found")</f>
        <v>ecommerce</v>
      </c>
      <c r="K104" t="str">
        <f>_xlfn.IFNA(VLOOKUP(C104,merchants!$A$2:$D$41,4,FALSE),"Merchant not found")</f>
        <v>North</v>
      </c>
      <c r="L104" s="2">
        <f>HLOOKUP(F104,Fees!$B$1:$E$2,2,FALSE)</f>
        <v>0.02</v>
      </c>
    </row>
    <row r="105" spans="1:12" x14ac:dyDescent="0.3">
      <c r="A105" t="s">
        <v>118</v>
      </c>
      <c r="B105">
        <v>207</v>
      </c>
      <c r="C105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  <c r="I105" t="str">
        <f>_xlfn.IFNA(VLOOKUP(C105,merchants!$A$2:$D$41,2,FALSE),"Merchant not found")</f>
        <v>Merchant_018</v>
      </c>
      <c r="J105" t="str">
        <f>_xlfn.IFNA(VLOOKUP(C105,merchants!$A$2:$D$41,3,FALSE),"Merchant not found")</f>
        <v>grocery</v>
      </c>
      <c r="K105" t="str">
        <f>_xlfn.IFNA(VLOOKUP(C105,merchants!$A$2:$D$41,4,FALSE),"Merchant not found")</f>
        <v>West</v>
      </c>
      <c r="L105" s="2">
        <f>HLOOKUP(F105,Fees!$B$1:$E$2,2,FALSE)</f>
        <v>0</v>
      </c>
    </row>
    <row r="106" spans="1:12" x14ac:dyDescent="0.3">
      <c r="A106" t="s">
        <v>119</v>
      </c>
      <c r="B106">
        <v>42</v>
      </c>
      <c r="C106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  <c r="I106" t="str">
        <f>_xlfn.IFNA(VLOOKUP(C106,merchants!$A$2:$D$41,2,FALSE),"Merchant not found")</f>
        <v>Merchant_039</v>
      </c>
      <c r="J106" t="str">
        <f>_xlfn.IFNA(VLOOKUP(C106,merchants!$A$2:$D$41,3,FALSE),"Merchant not found")</f>
        <v>entertainment</v>
      </c>
      <c r="K106" t="str">
        <f>_xlfn.IFNA(VLOOKUP(C106,merchants!$A$2:$D$41,4,FALSE),"Merchant not found")</f>
        <v>North</v>
      </c>
      <c r="L106" s="2">
        <f>HLOOKUP(F106,Fees!$B$1:$E$2,2,FALSE)</f>
        <v>0.02</v>
      </c>
    </row>
    <row r="107" spans="1:12" x14ac:dyDescent="0.3">
      <c r="A107" t="s">
        <v>120</v>
      </c>
      <c r="B107">
        <v>166</v>
      </c>
      <c r="C107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  <c r="I107" t="str">
        <f>_xlfn.IFNA(VLOOKUP(C107,merchants!$A$2:$D$41,2,FALSE),"Merchant not found")</f>
        <v>Merchant_039</v>
      </c>
      <c r="J107" t="str">
        <f>_xlfn.IFNA(VLOOKUP(C107,merchants!$A$2:$D$41,3,FALSE),"Merchant not found")</f>
        <v>entertainment</v>
      </c>
      <c r="K107" t="str">
        <f>_xlfn.IFNA(VLOOKUP(C107,merchants!$A$2:$D$41,4,FALSE),"Merchant not found")</f>
        <v>North</v>
      </c>
      <c r="L107" s="2">
        <f>HLOOKUP(F107,Fees!$B$1:$E$2,2,FALSE)</f>
        <v>0</v>
      </c>
    </row>
    <row r="108" spans="1:12" x14ac:dyDescent="0.3">
      <c r="A108" t="s">
        <v>121</v>
      </c>
      <c r="B108">
        <v>346</v>
      </c>
      <c r="C108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  <c r="I108" t="str">
        <f>_xlfn.IFNA(VLOOKUP(C108,merchants!$A$2:$D$41,2,FALSE),"Merchant not found")</f>
        <v>Merchant_037</v>
      </c>
      <c r="J108" t="str">
        <f>_xlfn.IFNA(VLOOKUP(C108,merchants!$A$2:$D$41,3,FALSE),"Merchant not found")</f>
        <v>entertainment</v>
      </c>
      <c r="K108" t="str">
        <f>_xlfn.IFNA(VLOOKUP(C108,merchants!$A$2:$D$41,4,FALSE),"Merchant not found")</f>
        <v>South</v>
      </c>
      <c r="L108" s="2">
        <f>HLOOKUP(F108,Fees!$B$1:$E$2,2,FALSE)</f>
        <v>0</v>
      </c>
    </row>
    <row r="109" spans="1:12" x14ac:dyDescent="0.3">
      <c r="A109" t="s">
        <v>122</v>
      </c>
      <c r="B109">
        <v>138</v>
      </c>
      <c r="C109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  <c r="I109" t="str">
        <f>_xlfn.IFNA(VLOOKUP(C109,merchants!$A$2:$D$41,2,FALSE),"Merchant not found")</f>
        <v>Merchant_037</v>
      </c>
      <c r="J109" t="str">
        <f>_xlfn.IFNA(VLOOKUP(C109,merchants!$A$2:$D$41,3,FALSE),"Merchant not found")</f>
        <v>entertainment</v>
      </c>
      <c r="K109" t="str">
        <f>_xlfn.IFNA(VLOOKUP(C109,merchants!$A$2:$D$41,4,FALSE),"Merchant not found")</f>
        <v>South</v>
      </c>
      <c r="L109" s="2">
        <f>HLOOKUP(F109,Fees!$B$1:$E$2,2,FALSE)</f>
        <v>0</v>
      </c>
    </row>
    <row r="110" spans="1:12" x14ac:dyDescent="0.3">
      <c r="A110" t="s">
        <v>123</v>
      </c>
      <c r="B110">
        <v>266</v>
      </c>
      <c r="C110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  <c r="I110" t="str">
        <f>_xlfn.IFNA(VLOOKUP(C110,merchants!$A$2:$D$41,2,FALSE),"Merchant not found")</f>
        <v>Merchant_029</v>
      </c>
      <c r="J110" t="str">
        <f>_xlfn.IFNA(VLOOKUP(C110,merchants!$A$2:$D$41,3,FALSE),"Merchant not found")</f>
        <v>ecommerce</v>
      </c>
      <c r="K110" t="str">
        <f>_xlfn.IFNA(VLOOKUP(C110,merchants!$A$2:$D$41,4,FALSE),"Merchant not found")</f>
        <v>North</v>
      </c>
      <c r="L110" s="2">
        <f>HLOOKUP(F110,Fees!$B$1:$E$2,2,FALSE)</f>
        <v>1.4999999999999999E-2</v>
      </c>
    </row>
    <row r="111" spans="1:12" x14ac:dyDescent="0.3">
      <c r="A111" t="s">
        <v>124</v>
      </c>
      <c r="B111">
        <v>326</v>
      </c>
      <c r="C111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  <c r="I111" t="str">
        <f>_xlfn.IFNA(VLOOKUP(C111,merchants!$A$2:$D$41,2,FALSE),"Merchant not found")</f>
        <v>Merchant_032</v>
      </c>
      <c r="J111" t="str">
        <f>_xlfn.IFNA(VLOOKUP(C111,merchants!$A$2:$D$41,3,FALSE),"Merchant not found")</f>
        <v>food_delivery</v>
      </c>
      <c r="K111" t="str">
        <f>_xlfn.IFNA(VLOOKUP(C111,merchants!$A$2:$D$41,4,FALSE),"Merchant not found")</f>
        <v>West</v>
      </c>
      <c r="L111" s="2">
        <f>HLOOKUP(F111,Fees!$B$1:$E$2,2,FALSE)</f>
        <v>0</v>
      </c>
    </row>
    <row r="112" spans="1:12" x14ac:dyDescent="0.3">
      <c r="A112" t="s">
        <v>125</v>
      </c>
      <c r="B112">
        <v>171</v>
      </c>
      <c r="C11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  <c r="I112" t="str">
        <f>_xlfn.IFNA(VLOOKUP(C112,merchants!$A$2:$D$41,2,FALSE),"Merchant not found")</f>
        <v>Merchant_021</v>
      </c>
      <c r="J112" t="str">
        <f>_xlfn.IFNA(VLOOKUP(C112,merchants!$A$2:$D$41,3,FALSE),"Merchant not found")</f>
        <v>food_delivery</v>
      </c>
      <c r="K112" t="str">
        <f>_xlfn.IFNA(VLOOKUP(C112,merchants!$A$2:$D$41,4,FALSE),"Merchant not found")</f>
        <v>East</v>
      </c>
      <c r="L112" s="2">
        <f>HLOOKUP(F112,Fees!$B$1:$E$2,2,FALSE)</f>
        <v>0</v>
      </c>
    </row>
    <row r="113" spans="1:12" x14ac:dyDescent="0.3">
      <c r="A113" t="s">
        <v>126</v>
      </c>
      <c r="B113">
        <v>211</v>
      </c>
      <c r="C113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  <c r="I113" t="str">
        <f>_xlfn.IFNA(VLOOKUP(C113,merchants!$A$2:$D$41,2,FALSE),"Merchant not found")</f>
        <v>Merchant_032</v>
      </c>
      <c r="J113" t="str">
        <f>_xlfn.IFNA(VLOOKUP(C113,merchants!$A$2:$D$41,3,FALSE),"Merchant not found")</f>
        <v>food_delivery</v>
      </c>
      <c r="K113" t="str">
        <f>_xlfn.IFNA(VLOOKUP(C113,merchants!$A$2:$D$41,4,FALSE),"Merchant not found")</f>
        <v>West</v>
      </c>
      <c r="L113" s="2">
        <f>HLOOKUP(F113,Fees!$B$1:$E$2,2,FALSE)</f>
        <v>0</v>
      </c>
    </row>
    <row r="114" spans="1:12" x14ac:dyDescent="0.3">
      <c r="A114" t="s">
        <v>127</v>
      </c>
      <c r="B114">
        <v>282</v>
      </c>
      <c r="C114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  <c r="I114" t="str">
        <f>_xlfn.IFNA(VLOOKUP(C114,merchants!$A$2:$D$41,2,FALSE),"Merchant not found")</f>
        <v>Merchant_003</v>
      </c>
      <c r="J114" t="str">
        <f>_xlfn.IFNA(VLOOKUP(C114,merchants!$A$2:$D$41,3,FALSE),"Merchant not found")</f>
        <v>grocery</v>
      </c>
      <c r="K114" t="str">
        <f>_xlfn.IFNA(VLOOKUP(C114,merchants!$A$2:$D$41,4,FALSE),"Merchant not found")</f>
        <v>East</v>
      </c>
      <c r="L114" s="2">
        <f>HLOOKUP(F114,Fees!$B$1:$E$2,2,FALSE)</f>
        <v>0</v>
      </c>
    </row>
    <row r="115" spans="1:12" x14ac:dyDescent="0.3">
      <c r="A115" t="s">
        <v>128</v>
      </c>
      <c r="B115">
        <v>166</v>
      </c>
      <c r="C115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  <c r="I115" t="str">
        <f>_xlfn.IFNA(VLOOKUP(C115,merchants!$A$2:$D$41,2,FALSE),"Merchant not found")</f>
        <v>Merchant_008</v>
      </c>
      <c r="J115" t="str">
        <f>_xlfn.IFNA(VLOOKUP(C115,merchants!$A$2:$D$41,3,FALSE),"Merchant not found")</f>
        <v>food_delivery</v>
      </c>
      <c r="K115" t="str">
        <f>_xlfn.IFNA(VLOOKUP(C115,merchants!$A$2:$D$41,4,FALSE),"Merchant not found")</f>
        <v>North</v>
      </c>
      <c r="L115" s="2">
        <f>HLOOKUP(F115,Fees!$B$1:$E$2,2,FALSE)</f>
        <v>0</v>
      </c>
    </row>
    <row r="116" spans="1:12" x14ac:dyDescent="0.3">
      <c r="A116" t="s">
        <v>129</v>
      </c>
      <c r="B116">
        <v>1</v>
      </c>
      <c r="C116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  <c r="I116" t="str">
        <f>_xlfn.IFNA(VLOOKUP(C116,merchants!$A$2:$D$41,2,FALSE),"Merchant not found")</f>
        <v>Merchant_035</v>
      </c>
      <c r="J116" t="str">
        <f>_xlfn.IFNA(VLOOKUP(C116,merchants!$A$2:$D$41,3,FALSE),"Merchant not found")</f>
        <v>recharge</v>
      </c>
      <c r="K116" t="str">
        <f>_xlfn.IFNA(VLOOKUP(C116,merchants!$A$2:$D$41,4,FALSE),"Merchant not found")</f>
        <v>East</v>
      </c>
      <c r="L116" s="2">
        <f>HLOOKUP(F116,Fees!$B$1:$E$2,2,FALSE)</f>
        <v>0</v>
      </c>
    </row>
    <row r="117" spans="1:12" x14ac:dyDescent="0.3">
      <c r="A117" t="s">
        <v>130</v>
      </c>
      <c r="B117">
        <v>266</v>
      </c>
      <c r="C117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  <c r="I117" t="str">
        <f>_xlfn.IFNA(VLOOKUP(C117,merchants!$A$2:$D$41,2,FALSE),"Merchant not found")</f>
        <v>Merchant_024</v>
      </c>
      <c r="J117" t="str">
        <f>_xlfn.IFNA(VLOOKUP(C117,merchants!$A$2:$D$41,3,FALSE),"Merchant not found")</f>
        <v>grocery</v>
      </c>
      <c r="K117" t="str">
        <f>_xlfn.IFNA(VLOOKUP(C117,merchants!$A$2:$D$41,4,FALSE),"Merchant not found")</f>
        <v>North</v>
      </c>
      <c r="L117" s="2">
        <f>HLOOKUP(F117,Fees!$B$1:$E$2,2,FALSE)</f>
        <v>0</v>
      </c>
    </row>
    <row r="118" spans="1:12" x14ac:dyDescent="0.3">
      <c r="A118" t="s">
        <v>131</v>
      </c>
      <c r="B118">
        <v>227</v>
      </c>
      <c r="C118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  <c r="I118" t="str">
        <f>_xlfn.IFNA(VLOOKUP(C118,merchants!$A$2:$D$41,2,FALSE),"Merchant not found")</f>
        <v>Merchant_004</v>
      </c>
      <c r="J118" t="str">
        <f>_xlfn.IFNA(VLOOKUP(C118,merchants!$A$2:$D$41,3,FALSE),"Merchant not found")</f>
        <v>ecommerce</v>
      </c>
      <c r="K118" t="str">
        <f>_xlfn.IFNA(VLOOKUP(C118,merchants!$A$2:$D$41,4,FALSE),"Merchant not found")</f>
        <v>East</v>
      </c>
      <c r="L118" s="2">
        <f>HLOOKUP(F118,Fees!$B$1:$E$2,2,FALSE)</f>
        <v>0</v>
      </c>
    </row>
    <row r="119" spans="1:12" x14ac:dyDescent="0.3">
      <c r="A119" t="s">
        <v>132</v>
      </c>
      <c r="B119">
        <v>148</v>
      </c>
      <c r="C119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  <c r="I119" t="str">
        <f>_xlfn.IFNA(VLOOKUP(C119,merchants!$A$2:$D$41,2,FALSE),"Merchant not found")</f>
        <v>Merchant_029</v>
      </c>
      <c r="J119" t="str">
        <f>_xlfn.IFNA(VLOOKUP(C119,merchants!$A$2:$D$41,3,FALSE),"Merchant not found")</f>
        <v>ecommerce</v>
      </c>
      <c r="K119" t="str">
        <f>_xlfn.IFNA(VLOOKUP(C119,merchants!$A$2:$D$41,4,FALSE),"Merchant not found")</f>
        <v>North</v>
      </c>
      <c r="L119" s="2">
        <f>HLOOKUP(F119,Fees!$B$1:$E$2,2,FALSE)</f>
        <v>0</v>
      </c>
    </row>
    <row r="120" spans="1:12" x14ac:dyDescent="0.3">
      <c r="A120" t="s">
        <v>133</v>
      </c>
      <c r="B120">
        <v>323</v>
      </c>
      <c r="C120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  <c r="I120" t="str">
        <f>_xlfn.IFNA(VLOOKUP(C120,merchants!$A$2:$D$41,2,FALSE),"Merchant not found")</f>
        <v>Merchant_039</v>
      </c>
      <c r="J120" t="str">
        <f>_xlfn.IFNA(VLOOKUP(C120,merchants!$A$2:$D$41,3,FALSE),"Merchant not found")</f>
        <v>entertainment</v>
      </c>
      <c r="K120" t="str">
        <f>_xlfn.IFNA(VLOOKUP(C120,merchants!$A$2:$D$41,4,FALSE),"Merchant not found")</f>
        <v>North</v>
      </c>
      <c r="L120" s="2">
        <f>HLOOKUP(F120,Fees!$B$1:$E$2,2,FALSE)</f>
        <v>0</v>
      </c>
    </row>
    <row r="121" spans="1:12" x14ac:dyDescent="0.3">
      <c r="A121" t="s">
        <v>134</v>
      </c>
      <c r="B121">
        <v>283</v>
      </c>
      <c r="C121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  <c r="I121" t="str">
        <f>_xlfn.IFNA(VLOOKUP(C121,merchants!$A$2:$D$41,2,FALSE),"Merchant not found")</f>
        <v>Merchant_001</v>
      </c>
      <c r="J121" t="str">
        <f>_xlfn.IFNA(VLOOKUP(C121,merchants!$A$2:$D$41,3,FALSE),"Merchant not found")</f>
        <v>ecommerce</v>
      </c>
      <c r="K121" t="str">
        <f>_xlfn.IFNA(VLOOKUP(C121,merchants!$A$2:$D$41,4,FALSE),"Merchant not found")</f>
        <v>South</v>
      </c>
      <c r="L121" s="2">
        <f>HLOOKUP(F121,Fees!$B$1:$E$2,2,FALSE)</f>
        <v>1.4999999999999999E-2</v>
      </c>
    </row>
    <row r="122" spans="1:12" x14ac:dyDescent="0.3">
      <c r="A122" t="s">
        <v>135</v>
      </c>
      <c r="B122">
        <v>59</v>
      </c>
      <c r="C12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  <c r="I122" t="str">
        <f>_xlfn.IFNA(VLOOKUP(C122,merchants!$A$2:$D$41,2,FALSE),"Merchant not found")</f>
        <v>Merchant_030</v>
      </c>
      <c r="J122" t="str">
        <f>_xlfn.IFNA(VLOOKUP(C122,merchants!$A$2:$D$41,3,FALSE),"Merchant not found")</f>
        <v>travel</v>
      </c>
      <c r="K122" t="str">
        <f>_xlfn.IFNA(VLOOKUP(C122,merchants!$A$2:$D$41,4,FALSE),"Merchant not found")</f>
        <v>West</v>
      </c>
      <c r="L122" s="2">
        <f>HLOOKUP(F122,Fees!$B$1:$E$2,2,FALSE)</f>
        <v>0</v>
      </c>
    </row>
    <row r="123" spans="1:12" x14ac:dyDescent="0.3">
      <c r="A123" t="s">
        <v>136</v>
      </c>
      <c r="B123">
        <v>150</v>
      </c>
      <c r="C123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  <c r="I123" t="str">
        <f>_xlfn.IFNA(VLOOKUP(C123,merchants!$A$2:$D$41,2,FALSE),"Merchant not found")</f>
        <v>Merchant_033</v>
      </c>
      <c r="J123" t="str">
        <f>_xlfn.IFNA(VLOOKUP(C123,merchants!$A$2:$D$41,3,FALSE),"Merchant not found")</f>
        <v>bill_payment</v>
      </c>
      <c r="K123" t="str">
        <f>_xlfn.IFNA(VLOOKUP(C123,merchants!$A$2:$D$41,4,FALSE),"Merchant not found")</f>
        <v>East</v>
      </c>
      <c r="L123" s="2">
        <f>HLOOKUP(F123,Fees!$B$1:$E$2,2,FALSE)</f>
        <v>0</v>
      </c>
    </row>
    <row r="124" spans="1:12" x14ac:dyDescent="0.3">
      <c r="A124" t="s">
        <v>137</v>
      </c>
      <c r="B124">
        <v>248</v>
      </c>
      <c r="C124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  <c r="I124" t="str">
        <f>_xlfn.IFNA(VLOOKUP(C124,merchants!$A$2:$D$41,2,FALSE),"Merchant not found")</f>
        <v>Merchant_031</v>
      </c>
      <c r="J124" t="str">
        <f>_xlfn.IFNA(VLOOKUP(C124,merchants!$A$2:$D$41,3,FALSE),"Merchant not found")</f>
        <v>bill_payment</v>
      </c>
      <c r="K124" t="str">
        <f>_xlfn.IFNA(VLOOKUP(C124,merchants!$A$2:$D$41,4,FALSE),"Merchant not found")</f>
        <v>East</v>
      </c>
      <c r="L124" s="2">
        <f>HLOOKUP(F124,Fees!$B$1:$E$2,2,FALSE)</f>
        <v>0</v>
      </c>
    </row>
    <row r="125" spans="1:12" x14ac:dyDescent="0.3">
      <c r="A125" t="s">
        <v>138</v>
      </c>
      <c r="B125">
        <v>197</v>
      </c>
      <c r="C125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  <c r="I125" t="str">
        <f>_xlfn.IFNA(VLOOKUP(C125,merchants!$A$2:$D$41,2,FALSE),"Merchant not found")</f>
        <v>Merchant_013</v>
      </c>
      <c r="J125" t="str">
        <f>_xlfn.IFNA(VLOOKUP(C125,merchants!$A$2:$D$41,3,FALSE),"Merchant not found")</f>
        <v>travel</v>
      </c>
      <c r="K125" t="str">
        <f>_xlfn.IFNA(VLOOKUP(C125,merchants!$A$2:$D$41,4,FALSE),"Merchant not found")</f>
        <v>East</v>
      </c>
      <c r="L125" s="2">
        <f>HLOOKUP(F125,Fees!$B$1:$E$2,2,FALSE)</f>
        <v>0</v>
      </c>
    </row>
    <row r="126" spans="1:12" x14ac:dyDescent="0.3">
      <c r="A126" t="s">
        <v>139</v>
      </c>
      <c r="B126">
        <v>70</v>
      </c>
      <c r="C126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  <c r="I126" t="str">
        <f>_xlfn.IFNA(VLOOKUP(C126,merchants!$A$2:$D$41,2,FALSE),"Merchant not found")</f>
        <v>Merchant_005</v>
      </c>
      <c r="J126" t="str">
        <f>_xlfn.IFNA(VLOOKUP(C126,merchants!$A$2:$D$41,3,FALSE),"Merchant not found")</f>
        <v>recharge</v>
      </c>
      <c r="K126" t="str">
        <f>_xlfn.IFNA(VLOOKUP(C126,merchants!$A$2:$D$41,4,FALSE),"Merchant not found")</f>
        <v>South</v>
      </c>
      <c r="L126" s="2">
        <f>HLOOKUP(F126,Fees!$B$1:$E$2,2,FALSE)</f>
        <v>0</v>
      </c>
    </row>
    <row r="127" spans="1:12" x14ac:dyDescent="0.3">
      <c r="A127" t="s">
        <v>140</v>
      </c>
      <c r="B127">
        <v>260</v>
      </c>
      <c r="C127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  <c r="I127" t="str">
        <f>_xlfn.IFNA(VLOOKUP(C127,merchants!$A$2:$D$41,2,FALSE),"Merchant not found")</f>
        <v>Merchant_018</v>
      </c>
      <c r="J127" t="str">
        <f>_xlfn.IFNA(VLOOKUP(C127,merchants!$A$2:$D$41,3,FALSE),"Merchant not found")</f>
        <v>grocery</v>
      </c>
      <c r="K127" t="str">
        <f>_xlfn.IFNA(VLOOKUP(C127,merchants!$A$2:$D$41,4,FALSE),"Merchant not found")</f>
        <v>West</v>
      </c>
      <c r="L127" s="2">
        <f>HLOOKUP(F127,Fees!$B$1:$E$2,2,FALSE)</f>
        <v>0</v>
      </c>
    </row>
    <row r="128" spans="1:12" x14ac:dyDescent="0.3">
      <c r="A128" t="s">
        <v>141</v>
      </c>
      <c r="B128">
        <v>301</v>
      </c>
      <c r="C128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  <c r="I128" t="str">
        <f>_xlfn.IFNA(VLOOKUP(C128,merchants!$A$2:$D$41,2,FALSE),"Merchant not found")</f>
        <v>Merchant_038</v>
      </c>
      <c r="J128" t="str">
        <f>_xlfn.IFNA(VLOOKUP(C128,merchants!$A$2:$D$41,3,FALSE),"Merchant not found")</f>
        <v>grocery</v>
      </c>
      <c r="K128" t="str">
        <f>_xlfn.IFNA(VLOOKUP(C128,merchants!$A$2:$D$41,4,FALSE),"Merchant not found")</f>
        <v>East</v>
      </c>
      <c r="L128" s="2">
        <f>HLOOKUP(F128,Fees!$B$1:$E$2,2,FALSE)</f>
        <v>0</v>
      </c>
    </row>
    <row r="129" spans="1:12" x14ac:dyDescent="0.3">
      <c r="A129" t="s">
        <v>142</v>
      </c>
      <c r="B129">
        <v>276</v>
      </c>
      <c r="C129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  <c r="I129" t="str">
        <f>_xlfn.IFNA(VLOOKUP(C129,merchants!$A$2:$D$41,2,FALSE),"Merchant not found")</f>
        <v>Merchant_031</v>
      </c>
      <c r="J129" t="str">
        <f>_xlfn.IFNA(VLOOKUP(C129,merchants!$A$2:$D$41,3,FALSE),"Merchant not found")</f>
        <v>bill_payment</v>
      </c>
      <c r="K129" t="str">
        <f>_xlfn.IFNA(VLOOKUP(C129,merchants!$A$2:$D$41,4,FALSE),"Merchant not found")</f>
        <v>East</v>
      </c>
      <c r="L129" s="2">
        <f>HLOOKUP(F129,Fees!$B$1:$E$2,2,FALSE)</f>
        <v>0.02</v>
      </c>
    </row>
    <row r="130" spans="1:12" x14ac:dyDescent="0.3">
      <c r="A130" t="s">
        <v>143</v>
      </c>
      <c r="B130">
        <v>279</v>
      </c>
      <c r="C130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  <c r="I130" t="str">
        <f>_xlfn.IFNA(VLOOKUP(C130,merchants!$A$2:$D$41,2,FALSE),"Merchant not found")</f>
        <v>Merchant_025</v>
      </c>
      <c r="J130" t="str">
        <f>_xlfn.IFNA(VLOOKUP(C130,merchants!$A$2:$D$41,3,FALSE),"Merchant not found")</f>
        <v>travel</v>
      </c>
      <c r="K130" t="str">
        <f>_xlfn.IFNA(VLOOKUP(C130,merchants!$A$2:$D$41,4,FALSE),"Merchant not found")</f>
        <v>South</v>
      </c>
      <c r="L130" s="2">
        <f>HLOOKUP(F130,Fees!$B$1:$E$2,2,FALSE)</f>
        <v>0</v>
      </c>
    </row>
    <row r="131" spans="1:12" x14ac:dyDescent="0.3">
      <c r="A131" t="s">
        <v>144</v>
      </c>
      <c r="B131">
        <v>97</v>
      </c>
      <c r="C131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  <c r="I131" t="str">
        <f>_xlfn.IFNA(VLOOKUP(C131,merchants!$A$2:$D$41,2,FALSE),"Merchant not found")</f>
        <v>Merchant_016</v>
      </c>
      <c r="J131" t="str">
        <f>_xlfn.IFNA(VLOOKUP(C131,merchants!$A$2:$D$41,3,FALSE),"Merchant not found")</f>
        <v>bill_payment</v>
      </c>
      <c r="K131" t="str">
        <f>_xlfn.IFNA(VLOOKUP(C131,merchants!$A$2:$D$41,4,FALSE),"Merchant not found")</f>
        <v>West</v>
      </c>
      <c r="L131" s="2">
        <f>HLOOKUP(F131,Fees!$B$1:$E$2,2,FALSE)</f>
        <v>0.02</v>
      </c>
    </row>
    <row r="132" spans="1:12" x14ac:dyDescent="0.3">
      <c r="A132" t="s">
        <v>145</v>
      </c>
      <c r="B132">
        <v>211</v>
      </c>
      <c r="C13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  <c r="I132" t="str">
        <f>_xlfn.IFNA(VLOOKUP(C132,merchants!$A$2:$D$41,2,FALSE),"Merchant not found")</f>
        <v>Merchant_003</v>
      </c>
      <c r="J132" t="str">
        <f>_xlfn.IFNA(VLOOKUP(C132,merchants!$A$2:$D$41,3,FALSE),"Merchant not found")</f>
        <v>grocery</v>
      </c>
      <c r="K132" t="str">
        <f>_xlfn.IFNA(VLOOKUP(C132,merchants!$A$2:$D$41,4,FALSE),"Merchant not found")</f>
        <v>East</v>
      </c>
      <c r="L132" s="2">
        <f>HLOOKUP(F132,Fees!$B$1:$E$2,2,FALSE)</f>
        <v>0</v>
      </c>
    </row>
    <row r="133" spans="1:12" x14ac:dyDescent="0.3">
      <c r="A133" t="s">
        <v>146</v>
      </c>
      <c r="B133">
        <v>196</v>
      </c>
      <c r="C133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  <c r="I133" t="str">
        <f>_xlfn.IFNA(VLOOKUP(C133,merchants!$A$2:$D$41,2,FALSE),"Merchant not found")</f>
        <v>Merchant_025</v>
      </c>
      <c r="J133" t="str">
        <f>_xlfn.IFNA(VLOOKUP(C133,merchants!$A$2:$D$41,3,FALSE),"Merchant not found")</f>
        <v>travel</v>
      </c>
      <c r="K133" t="str">
        <f>_xlfn.IFNA(VLOOKUP(C133,merchants!$A$2:$D$41,4,FALSE),"Merchant not found")</f>
        <v>South</v>
      </c>
      <c r="L133" s="2">
        <f>HLOOKUP(F133,Fees!$B$1:$E$2,2,FALSE)</f>
        <v>0.01</v>
      </c>
    </row>
    <row r="134" spans="1:12" x14ac:dyDescent="0.3">
      <c r="A134" t="s">
        <v>147</v>
      </c>
      <c r="B134">
        <v>254</v>
      </c>
      <c r="C134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  <c r="I134" t="str">
        <f>_xlfn.IFNA(VLOOKUP(C134,merchants!$A$2:$D$41,2,FALSE),"Merchant not found")</f>
        <v>Merchant_003</v>
      </c>
      <c r="J134" t="str">
        <f>_xlfn.IFNA(VLOOKUP(C134,merchants!$A$2:$D$41,3,FALSE),"Merchant not found")</f>
        <v>grocery</v>
      </c>
      <c r="K134" t="str">
        <f>_xlfn.IFNA(VLOOKUP(C134,merchants!$A$2:$D$41,4,FALSE),"Merchant not found")</f>
        <v>East</v>
      </c>
      <c r="L134" s="2">
        <f>HLOOKUP(F134,Fees!$B$1:$E$2,2,FALSE)</f>
        <v>0.02</v>
      </c>
    </row>
    <row r="135" spans="1:12" x14ac:dyDescent="0.3">
      <c r="A135" t="s">
        <v>148</v>
      </c>
      <c r="B135">
        <v>52</v>
      </c>
      <c r="C135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  <c r="I135" t="str">
        <f>_xlfn.IFNA(VLOOKUP(C135,merchants!$A$2:$D$41,2,FALSE),"Merchant not found")</f>
        <v>Merchant_029</v>
      </c>
      <c r="J135" t="str">
        <f>_xlfn.IFNA(VLOOKUP(C135,merchants!$A$2:$D$41,3,FALSE),"Merchant not found")</f>
        <v>ecommerce</v>
      </c>
      <c r="K135" t="str">
        <f>_xlfn.IFNA(VLOOKUP(C135,merchants!$A$2:$D$41,4,FALSE),"Merchant not found")</f>
        <v>North</v>
      </c>
      <c r="L135" s="2">
        <f>HLOOKUP(F135,Fees!$B$1:$E$2,2,FALSE)</f>
        <v>0.01</v>
      </c>
    </row>
    <row r="136" spans="1:12" x14ac:dyDescent="0.3">
      <c r="A136" t="s">
        <v>149</v>
      </c>
      <c r="B136">
        <v>74</v>
      </c>
      <c r="C136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  <c r="I136" t="str">
        <f>_xlfn.IFNA(VLOOKUP(C136,merchants!$A$2:$D$41,2,FALSE),"Merchant not found")</f>
        <v>Merchant_027</v>
      </c>
      <c r="J136" t="str">
        <f>_xlfn.IFNA(VLOOKUP(C136,merchants!$A$2:$D$41,3,FALSE),"Merchant not found")</f>
        <v>ecommerce</v>
      </c>
      <c r="K136" t="str">
        <f>_xlfn.IFNA(VLOOKUP(C136,merchants!$A$2:$D$41,4,FALSE),"Merchant not found")</f>
        <v>North</v>
      </c>
      <c r="L136" s="2">
        <f>HLOOKUP(F136,Fees!$B$1:$E$2,2,FALSE)</f>
        <v>0</v>
      </c>
    </row>
    <row r="137" spans="1:12" x14ac:dyDescent="0.3">
      <c r="A137" t="s">
        <v>150</v>
      </c>
      <c r="B137">
        <v>136</v>
      </c>
      <c r="C137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  <c r="I137" t="str">
        <f>_xlfn.IFNA(VLOOKUP(C137,merchants!$A$2:$D$41,2,FALSE),"Merchant not found")</f>
        <v>Merchant_022</v>
      </c>
      <c r="J137" t="str">
        <f>_xlfn.IFNA(VLOOKUP(C137,merchants!$A$2:$D$41,3,FALSE),"Merchant not found")</f>
        <v>travel</v>
      </c>
      <c r="K137" t="str">
        <f>_xlfn.IFNA(VLOOKUP(C137,merchants!$A$2:$D$41,4,FALSE),"Merchant not found")</f>
        <v>South</v>
      </c>
      <c r="L137" s="2">
        <f>HLOOKUP(F137,Fees!$B$1:$E$2,2,FALSE)</f>
        <v>0</v>
      </c>
    </row>
    <row r="138" spans="1:12" x14ac:dyDescent="0.3">
      <c r="A138" t="s">
        <v>151</v>
      </c>
      <c r="B138">
        <v>42</v>
      </c>
      <c r="C138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  <c r="I138" t="str">
        <f>_xlfn.IFNA(VLOOKUP(C138,merchants!$A$2:$D$41,2,FALSE),"Merchant not found")</f>
        <v>Merchant_022</v>
      </c>
      <c r="J138" t="str">
        <f>_xlfn.IFNA(VLOOKUP(C138,merchants!$A$2:$D$41,3,FALSE),"Merchant not found")</f>
        <v>travel</v>
      </c>
      <c r="K138" t="str">
        <f>_xlfn.IFNA(VLOOKUP(C138,merchants!$A$2:$D$41,4,FALSE),"Merchant not found")</f>
        <v>South</v>
      </c>
      <c r="L138" s="2">
        <f>HLOOKUP(F138,Fees!$B$1:$E$2,2,FALSE)</f>
        <v>0</v>
      </c>
    </row>
    <row r="139" spans="1:12" x14ac:dyDescent="0.3">
      <c r="A139" t="s">
        <v>152</v>
      </c>
      <c r="B139">
        <v>163</v>
      </c>
      <c r="C139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  <c r="I139" t="str">
        <f>_xlfn.IFNA(VLOOKUP(C139,merchants!$A$2:$D$41,2,FALSE),"Merchant not found")</f>
        <v>Merchant_032</v>
      </c>
      <c r="J139" t="str">
        <f>_xlfn.IFNA(VLOOKUP(C139,merchants!$A$2:$D$41,3,FALSE),"Merchant not found")</f>
        <v>food_delivery</v>
      </c>
      <c r="K139" t="str">
        <f>_xlfn.IFNA(VLOOKUP(C139,merchants!$A$2:$D$41,4,FALSE),"Merchant not found")</f>
        <v>West</v>
      </c>
      <c r="L139" s="2">
        <f>HLOOKUP(F139,Fees!$B$1:$E$2,2,FALSE)</f>
        <v>1.4999999999999999E-2</v>
      </c>
    </row>
    <row r="140" spans="1:12" x14ac:dyDescent="0.3">
      <c r="A140" t="s">
        <v>153</v>
      </c>
      <c r="B140">
        <v>121</v>
      </c>
      <c r="C140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  <c r="I140" t="str">
        <f>_xlfn.IFNA(VLOOKUP(C140,merchants!$A$2:$D$41,2,FALSE),"Merchant not found")</f>
        <v>Merchant_019</v>
      </c>
      <c r="J140" t="str">
        <f>_xlfn.IFNA(VLOOKUP(C140,merchants!$A$2:$D$41,3,FALSE),"Merchant not found")</f>
        <v>grocery</v>
      </c>
      <c r="K140" t="str">
        <f>_xlfn.IFNA(VLOOKUP(C140,merchants!$A$2:$D$41,4,FALSE),"Merchant not found")</f>
        <v>North</v>
      </c>
      <c r="L140" s="2">
        <f>HLOOKUP(F140,Fees!$B$1:$E$2,2,FALSE)</f>
        <v>0</v>
      </c>
    </row>
    <row r="141" spans="1:12" x14ac:dyDescent="0.3">
      <c r="A141" t="s">
        <v>154</v>
      </c>
      <c r="B141">
        <v>51</v>
      </c>
      <c r="C141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  <c r="I141" t="str">
        <f>_xlfn.IFNA(VLOOKUP(C141,merchants!$A$2:$D$41,2,FALSE),"Merchant not found")</f>
        <v>Merchant_007</v>
      </c>
      <c r="J141" t="str">
        <f>_xlfn.IFNA(VLOOKUP(C141,merchants!$A$2:$D$41,3,FALSE),"Merchant not found")</f>
        <v>food_delivery</v>
      </c>
      <c r="K141" t="str">
        <f>_xlfn.IFNA(VLOOKUP(C141,merchants!$A$2:$D$41,4,FALSE),"Merchant not found")</f>
        <v>East</v>
      </c>
      <c r="L141" s="2">
        <f>HLOOKUP(F141,Fees!$B$1:$E$2,2,FALSE)</f>
        <v>0.02</v>
      </c>
    </row>
    <row r="142" spans="1:12" x14ac:dyDescent="0.3">
      <c r="A142" t="s">
        <v>155</v>
      </c>
      <c r="B142">
        <v>15</v>
      </c>
      <c r="C14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  <c r="I142" t="str">
        <f>_xlfn.IFNA(VLOOKUP(C142,merchants!$A$2:$D$41,2,FALSE),"Merchant not found")</f>
        <v>Merchant_003</v>
      </c>
      <c r="J142" t="str">
        <f>_xlfn.IFNA(VLOOKUP(C142,merchants!$A$2:$D$41,3,FALSE),"Merchant not found")</f>
        <v>grocery</v>
      </c>
      <c r="K142" t="str">
        <f>_xlfn.IFNA(VLOOKUP(C142,merchants!$A$2:$D$41,4,FALSE),"Merchant not found")</f>
        <v>East</v>
      </c>
      <c r="L142" s="2">
        <f>HLOOKUP(F142,Fees!$B$1:$E$2,2,FALSE)</f>
        <v>0</v>
      </c>
    </row>
    <row r="143" spans="1:12" x14ac:dyDescent="0.3">
      <c r="A143" t="s">
        <v>156</v>
      </c>
      <c r="B143">
        <v>184</v>
      </c>
      <c r="C143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  <c r="I143" t="str">
        <f>_xlfn.IFNA(VLOOKUP(C143,merchants!$A$2:$D$41,2,FALSE),"Merchant not found")</f>
        <v>Merchant_024</v>
      </c>
      <c r="J143" t="str">
        <f>_xlfn.IFNA(VLOOKUP(C143,merchants!$A$2:$D$41,3,FALSE),"Merchant not found")</f>
        <v>grocery</v>
      </c>
      <c r="K143" t="str">
        <f>_xlfn.IFNA(VLOOKUP(C143,merchants!$A$2:$D$41,4,FALSE),"Merchant not found")</f>
        <v>North</v>
      </c>
      <c r="L143" s="2">
        <f>HLOOKUP(F143,Fees!$B$1:$E$2,2,FALSE)</f>
        <v>0</v>
      </c>
    </row>
    <row r="144" spans="1:12" x14ac:dyDescent="0.3">
      <c r="A144" t="s">
        <v>157</v>
      </c>
      <c r="B144">
        <v>211</v>
      </c>
      <c r="C144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  <c r="I144" t="str">
        <f>_xlfn.IFNA(VLOOKUP(C144,merchants!$A$2:$D$41,2,FALSE),"Merchant not found")</f>
        <v>Merchant_037</v>
      </c>
      <c r="J144" t="str">
        <f>_xlfn.IFNA(VLOOKUP(C144,merchants!$A$2:$D$41,3,FALSE),"Merchant not found")</f>
        <v>entertainment</v>
      </c>
      <c r="K144" t="str">
        <f>_xlfn.IFNA(VLOOKUP(C144,merchants!$A$2:$D$41,4,FALSE),"Merchant not found")</f>
        <v>South</v>
      </c>
      <c r="L144" s="2">
        <f>HLOOKUP(F144,Fees!$B$1:$E$2,2,FALSE)</f>
        <v>0</v>
      </c>
    </row>
    <row r="145" spans="1:12" x14ac:dyDescent="0.3">
      <c r="A145" t="s">
        <v>158</v>
      </c>
      <c r="B145">
        <v>90</v>
      </c>
      <c r="C145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  <c r="I145" t="str">
        <f>_xlfn.IFNA(VLOOKUP(C145,merchants!$A$2:$D$41,2,FALSE),"Merchant not found")</f>
        <v>Merchant_006</v>
      </c>
      <c r="J145" t="str">
        <f>_xlfn.IFNA(VLOOKUP(C145,merchants!$A$2:$D$41,3,FALSE),"Merchant not found")</f>
        <v>food_delivery</v>
      </c>
      <c r="K145" t="str">
        <f>_xlfn.IFNA(VLOOKUP(C145,merchants!$A$2:$D$41,4,FALSE),"Merchant not found")</f>
        <v>South</v>
      </c>
      <c r="L145" s="2">
        <f>HLOOKUP(F145,Fees!$B$1:$E$2,2,FALSE)</f>
        <v>0.02</v>
      </c>
    </row>
    <row r="146" spans="1:12" x14ac:dyDescent="0.3">
      <c r="A146" t="s">
        <v>159</v>
      </c>
      <c r="B146">
        <v>350</v>
      </c>
      <c r="C146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  <c r="I146" t="str">
        <f>_xlfn.IFNA(VLOOKUP(C146,merchants!$A$2:$D$41,2,FALSE),"Merchant not found")</f>
        <v>Merchant_016</v>
      </c>
      <c r="J146" t="str">
        <f>_xlfn.IFNA(VLOOKUP(C146,merchants!$A$2:$D$41,3,FALSE),"Merchant not found")</f>
        <v>bill_payment</v>
      </c>
      <c r="K146" t="str">
        <f>_xlfn.IFNA(VLOOKUP(C146,merchants!$A$2:$D$41,4,FALSE),"Merchant not found")</f>
        <v>West</v>
      </c>
      <c r="L146" s="2">
        <f>HLOOKUP(F146,Fees!$B$1:$E$2,2,FALSE)</f>
        <v>0</v>
      </c>
    </row>
    <row r="147" spans="1:12" x14ac:dyDescent="0.3">
      <c r="A147" t="s">
        <v>160</v>
      </c>
      <c r="B147">
        <v>119</v>
      </c>
      <c r="C147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  <c r="I147" t="str">
        <f>_xlfn.IFNA(VLOOKUP(C147,merchants!$A$2:$D$41,2,FALSE),"Merchant not found")</f>
        <v>Merchant_030</v>
      </c>
      <c r="J147" t="str">
        <f>_xlfn.IFNA(VLOOKUP(C147,merchants!$A$2:$D$41,3,FALSE),"Merchant not found")</f>
        <v>travel</v>
      </c>
      <c r="K147" t="str">
        <f>_xlfn.IFNA(VLOOKUP(C147,merchants!$A$2:$D$41,4,FALSE),"Merchant not found")</f>
        <v>West</v>
      </c>
      <c r="L147" s="2">
        <f>HLOOKUP(F147,Fees!$B$1:$E$2,2,FALSE)</f>
        <v>0.02</v>
      </c>
    </row>
    <row r="148" spans="1:12" x14ac:dyDescent="0.3">
      <c r="A148" t="s">
        <v>161</v>
      </c>
      <c r="B148">
        <v>342</v>
      </c>
      <c r="C148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  <c r="I148" t="str">
        <f>_xlfn.IFNA(VLOOKUP(C148,merchants!$A$2:$D$41,2,FALSE),"Merchant not found")</f>
        <v>Merchant_001</v>
      </c>
      <c r="J148" t="str">
        <f>_xlfn.IFNA(VLOOKUP(C148,merchants!$A$2:$D$41,3,FALSE),"Merchant not found")</f>
        <v>ecommerce</v>
      </c>
      <c r="K148" t="str">
        <f>_xlfn.IFNA(VLOOKUP(C148,merchants!$A$2:$D$41,4,FALSE),"Merchant not found")</f>
        <v>South</v>
      </c>
      <c r="L148" s="2">
        <f>HLOOKUP(F148,Fees!$B$1:$E$2,2,FALSE)</f>
        <v>0</v>
      </c>
    </row>
    <row r="149" spans="1:12" x14ac:dyDescent="0.3">
      <c r="A149" t="s">
        <v>162</v>
      </c>
      <c r="B149">
        <v>280</v>
      </c>
      <c r="C149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  <c r="I149" t="str">
        <f>_xlfn.IFNA(VLOOKUP(C149,merchants!$A$2:$D$41,2,FALSE),"Merchant not found")</f>
        <v>Merchant_011</v>
      </c>
      <c r="J149" t="str">
        <f>_xlfn.IFNA(VLOOKUP(C149,merchants!$A$2:$D$41,3,FALSE),"Merchant not found")</f>
        <v>ecommerce</v>
      </c>
      <c r="K149" t="str">
        <f>_xlfn.IFNA(VLOOKUP(C149,merchants!$A$2:$D$41,4,FALSE),"Merchant not found")</f>
        <v>North</v>
      </c>
      <c r="L149" s="2">
        <f>HLOOKUP(F149,Fees!$B$1:$E$2,2,FALSE)</f>
        <v>0</v>
      </c>
    </row>
    <row r="150" spans="1:12" x14ac:dyDescent="0.3">
      <c r="A150" t="s">
        <v>163</v>
      </c>
      <c r="B150">
        <v>154</v>
      </c>
      <c r="C150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  <c r="I150" t="str">
        <f>_xlfn.IFNA(VLOOKUP(C150,merchants!$A$2:$D$41,2,FALSE),"Merchant not found")</f>
        <v>Merchant_028</v>
      </c>
      <c r="J150" t="str">
        <f>_xlfn.IFNA(VLOOKUP(C150,merchants!$A$2:$D$41,3,FALSE),"Merchant not found")</f>
        <v>ecommerce</v>
      </c>
      <c r="K150" t="str">
        <f>_xlfn.IFNA(VLOOKUP(C150,merchants!$A$2:$D$41,4,FALSE),"Merchant not found")</f>
        <v>South</v>
      </c>
      <c r="L150" s="2">
        <f>HLOOKUP(F150,Fees!$B$1:$E$2,2,FALSE)</f>
        <v>0.01</v>
      </c>
    </row>
    <row r="151" spans="1:12" x14ac:dyDescent="0.3">
      <c r="A151" t="s">
        <v>164</v>
      </c>
      <c r="B151">
        <v>155</v>
      </c>
      <c r="C151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  <c r="I151" t="str">
        <f>_xlfn.IFNA(VLOOKUP(C151,merchants!$A$2:$D$41,2,FALSE),"Merchant not found")</f>
        <v>Merchant_013</v>
      </c>
      <c r="J151" t="str">
        <f>_xlfn.IFNA(VLOOKUP(C151,merchants!$A$2:$D$41,3,FALSE),"Merchant not found")</f>
        <v>travel</v>
      </c>
      <c r="K151" t="str">
        <f>_xlfn.IFNA(VLOOKUP(C151,merchants!$A$2:$D$41,4,FALSE),"Merchant not found")</f>
        <v>East</v>
      </c>
      <c r="L151" s="2">
        <f>HLOOKUP(F151,Fees!$B$1:$E$2,2,FALSE)</f>
        <v>0</v>
      </c>
    </row>
    <row r="152" spans="1:12" x14ac:dyDescent="0.3">
      <c r="A152" t="s">
        <v>165</v>
      </c>
      <c r="B152">
        <v>122</v>
      </c>
      <c r="C15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  <c r="I152" t="str">
        <f>_xlfn.IFNA(VLOOKUP(C152,merchants!$A$2:$D$41,2,FALSE),"Merchant not found")</f>
        <v>Merchant_025</v>
      </c>
      <c r="J152" t="str">
        <f>_xlfn.IFNA(VLOOKUP(C152,merchants!$A$2:$D$41,3,FALSE),"Merchant not found")</f>
        <v>travel</v>
      </c>
      <c r="K152" t="str">
        <f>_xlfn.IFNA(VLOOKUP(C152,merchants!$A$2:$D$41,4,FALSE),"Merchant not found")</f>
        <v>South</v>
      </c>
      <c r="L152" s="2">
        <f>HLOOKUP(F152,Fees!$B$1:$E$2,2,FALSE)</f>
        <v>0</v>
      </c>
    </row>
    <row r="153" spans="1:12" x14ac:dyDescent="0.3">
      <c r="A153" t="s">
        <v>166</v>
      </c>
      <c r="B153">
        <v>152</v>
      </c>
      <c r="C153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  <c r="I153" t="str">
        <f>_xlfn.IFNA(VLOOKUP(C153,merchants!$A$2:$D$41,2,FALSE),"Merchant not found")</f>
        <v>Merchant_002</v>
      </c>
      <c r="J153" t="str">
        <f>_xlfn.IFNA(VLOOKUP(C153,merchants!$A$2:$D$41,3,FALSE),"Merchant not found")</f>
        <v>grocery</v>
      </c>
      <c r="K153" t="str">
        <f>_xlfn.IFNA(VLOOKUP(C153,merchants!$A$2:$D$41,4,FALSE),"Merchant not found")</f>
        <v>West</v>
      </c>
      <c r="L153" s="2">
        <f>HLOOKUP(F153,Fees!$B$1:$E$2,2,FALSE)</f>
        <v>0</v>
      </c>
    </row>
    <row r="154" spans="1:12" x14ac:dyDescent="0.3">
      <c r="A154" t="s">
        <v>167</v>
      </c>
      <c r="B154">
        <v>290</v>
      </c>
      <c r="C154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  <c r="I154" t="str">
        <f>_xlfn.IFNA(VLOOKUP(C154,merchants!$A$2:$D$41,2,FALSE),"Merchant not found")</f>
        <v>Merchant_004</v>
      </c>
      <c r="J154" t="str">
        <f>_xlfn.IFNA(VLOOKUP(C154,merchants!$A$2:$D$41,3,FALSE),"Merchant not found")</f>
        <v>ecommerce</v>
      </c>
      <c r="K154" t="str">
        <f>_xlfn.IFNA(VLOOKUP(C154,merchants!$A$2:$D$41,4,FALSE),"Merchant not found")</f>
        <v>East</v>
      </c>
      <c r="L154" s="2">
        <f>HLOOKUP(F154,Fees!$B$1:$E$2,2,FALSE)</f>
        <v>0</v>
      </c>
    </row>
    <row r="155" spans="1:12" x14ac:dyDescent="0.3">
      <c r="A155" t="s">
        <v>168</v>
      </c>
      <c r="B155">
        <v>147</v>
      </c>
      <c r="C155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  <c r="I155" t="str">
        <f>_xlfn.IFNA(VLOOKUP(C155,merchants!$A$2:$D$41,2,FALSE),"Merchant not found")</f>
        <v>Merchant_015</v>
      </c>
      <c r="J155" t="str">
        <f>_xlfn.IFNA(VLOOKUP(C155,merchants!$A$2:$D$41,3,FALSE),"Merchant not found")</f>
        <v>travel</v>
      </c>
      <c r="K155" t="str">
        <f>_xlfn.IFNA(VLOOKUP(C155,merchants!$A$2:$D$41,4,FALSE),"Merchant not found")</f>
        <v>North</v>
      </c>
      <c r="L155" s="2">
        <f>HLOOKUP(F155,Fees!$B$1:$E$2,2,FALSE)</f>
        <v>1.4999999999999999E-2</v>
      </c>
    </row>
    <row r="156" spans="1:12" x14ac:dyDescent="0.3">
      <c r="A156" t="s">
        <v>169</v>
      </c>
      <c r="B156">
        <v>326</v>
      </c>
      <c r="C156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  <c r="I156" t="str">
        <f>_xlfn.IFNA(VLOOKUP(C156,merchants!$A$2:$D$41,2,FALSE),"Merchant not found")</f>
        <v>Merchant_013</v>
      </c>
      <c r="J156" t="str">
        <f>_xlfn.IFNA(VLOOKUP(C156,merchants!$A$2:$D$41,3,FALSE),"Merchant not found")</f>
        <v>travel</v>
      </c>
      <c r="K156" t="str">
        <f>_xlfn.IFNA(VLOOKUP(C156,merchants!$A$2:$D$41,4,FALSE),"Merchant not found")</f>
        <v>East</v>
      </c>
      <c r="L156" s="2">
        <f>HLOOKUP(F156,Fees!$B$1:$E$2,2,FALSE)</f>
        <v>0.01</v>
      </c>
    </row>
    <row r="157" spans="1:12" x14ac:dyDescent="0.3">
      <c r="A157" t="s">
        <v>170</v>
      </c>
      <c r="B157">
        <v>338</v>
      </c>
      <c r="C157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  <c r="I157" t="str">
        <f>_xlfn.IFNA(VLOOKUP(C157,merchants!$A$2:$D$41,2,FALSE),"Merchant not found")</f>
        <v>Merchant_009</v>
      </c>
      <c r="J157" t="str">
        <f>_xlfn.IFNA(VLOOKUP(C157,merchants!$A$2:$D$41,3,FALSE),"Merchant not found")</f>
        <v>ecommerce</v>
      </c>
      <c r="K157" t="str">
        <f>_xlfn.IFNA(VLOOKUP(C157,merchants!$A$2:$D$41,4,FALSE),"Merchant not found")</f>
        <v>North</v>
      </c>
      <c r="L157" s="2">
        <f>HLOOKUP(F157,Fees!$B$1:$E$2,2,FALSE)</f>
        <v>0.02</v>
      </c>
    </row>
    <row r="158" spans="1:12" x14ac:dyDescent="0.3">
      <c r="A158" t="s">
        <v>171</v>
      </c>
      <c r="B158">
        <v>21</v>
      </c>
      <c r="C158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  <c r="I158" t="str">
        <f>_xlfn.IFNA(VLOOKUP(C158,merchants!$A$2:$D$41,2,FALSE),"Merchant not found")</f>
        <v>Merchant_020</v>
      </c>
      <c r="J158" t="str">
        <f>_xlfn.IFNA(VLOOKUP(C158,merchants!$A$2:$D$41,3,FALSE),"Merchant not found")</f>
        <v>food_delivery</v>
      </c>
      <c r="K158" t="str">
        <f>_xlfn.IFNA(VLOOKUP(C158,merchants!$A$2:$D$41,4,FALSE),"Merchant not found")</f>
        <v>East</v>
      </c>
      <c r="L158" s="2">
        <f>HLOOKUP(F158,Fees!$B$1:$E$2,2,FALSE)</f>
        <v>0</v>
      </c>
    </row>
    <row r="159" spans="1:12" x14ac:dyDescent="0.3">
      <c r="A159" t="s">
        <v>172</v>
      </c>
      <c r="B159">
        <v>187</v>
      </c>
      <c r="C159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  <c r="I159" t="str">
        <f>_xlfn.IFNA(VLOOKUP(C159,merchants!$A$2:$D$41,2,FALSE),"Merchant not found")</f>
        <v>Merchant_009</v>
      </c>
      <c r="J159" t="str">
        <f>_xlfn.IFNA(VLOOKUP(C159,merchants!$A$2:$D$41,3,FALSE),"Merchant not found")</f>
        <v>ecommerce</v>
      </c>
      <c r="K159" t="str">
        <f>_xlfn.IFNA(VLOOKUP(C159,merchants!$A$2:$D$41,4,FALSE),"Merchant not found")</f>
        <v>North</v>
      </c>
      <c r="L159" s="2">
        <f>HLOOKUP(F159,Fees!$B$1:$E$2,2,FALSE)</f>
        <v>0.02</v>
      </c>
    </row>
    <row r="160" spans="1:12" x14ac:dyDescent="0.3">
      <c r="A160" t="s">
        <v>173</v>
      </c>
      <c r="B160">
        <v>213</v>
      </c>
      <c r="C160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  <c r="I160" t="str">
        <f>_xlfn.IFNA(VLOOKUP(C160,merchants!$A$2:$D$41,2,FALSE),"Merchant not found")</f>
        <v>Merchant_012</v>
      </c>
      <c r="J160" t="str">
        <f>_xlfn.IFNA(VLOOKUP(C160,merchants!$A$2:$D$41,3,FALSE),"Merchant not found")</f>
        <v>ecommerce</v>
      </c>
      <c r="K160" t="str">
        <f>_xlfn.IFNA(VLOOKUP(C160,merchants!$A$2:$D$41,4,FALSE),"Merchant not found")</f>
        <v>East</v>
      </c>
      <c r="L160" s="2">
        <f>HLOOKUP(F160,Fees!$B$1:$E$2,2,FALSE)</f>
        <v>0</v>
      </c>
    </row>
    <row r="161" spans="1:12" x14ac:dyDescent="0.3">
      <c r="A161" t="s">
        <v>174</v>
      </c>
      <c r="B161">
        <v>188</v>
      </c>
      <c r="C161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  <c r="I161" t="str">
        <f>_xlfn.IFNA(VLOOKUP(C161,merchants!$A$2:$D$41,2,FALSE),"Merchant not found")</f>
        <v>Merchant_034</v>
      </c>
      <c r="J161" t="str">
        <f>_xlfn.IFNA(VLOOKUP(C161,merchants!$A$2:$D$41,3,FALSE),"Merchant not found")</f>
        <v>travel</v>
      </c>
      <c r="K161" t="str">
        <f>_xlfn.IFNA(VLOOKUP(C161,merchants!$A$2:$D$41,4,FALSE),"Merchant not found")</f>
        <v>South</v>
      </c>
      <c r="L161" s="2">
        <f>HLOOKUP(F161,Fees!$B$1:$E$2,2,FALSE)</f>
        <v>0</v>
      </c>
    </row>
    <row r="162" spans="1:12" x14ac:dyDescent="0.3">
      <c r="A162" t="s">
        <v>175</v>
      </c>
      <c r="B162">
        <v>85</v>
      </c>
      <c r="C16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  <c r="I162" t="str">
        <f>_xlfn.IFNA(VLOOKUP(C162,merchants!$A$2:$D$41,2,FALSE),"Merchant not found")</f>
        <v>Merchant_017</v>
      </c>
      <c r="J162" t="str">
        <f>_xlfn.IFNA(VLOOKUP(C162,merchants!$A$2:$D$41,3,FALSE),"Merchant not found")</f>
        <v>grocery</v>
      </c>
      <c r="K162" t="str">
        <f>_xlfn.IFNA(VLOOKUP(C162,merchants!$A$2:$D$41,4,FALSE),"Merchant not found")</f>
        <v>North</v>
      </c>
      <c r="L162" s="2">
        <f>HLOOKUP(F162,Fees!$B$1:$E$2,2,FALSE)</f>
        <v>0</v>
      </c>
    </row>
    <row r="163" spans="1:12" x14ac:dyDescent="0.3">
      <c r="A163" t="s">
        <v>176</v>
      </c>
      <c r="B163">
        <v>174</v>
      </c>
      <c r="C163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  <c r="I163" t="str">
        <f>_xlfn.IFNA(VLOOKUP(C163,merchants!$A$2:$D$41,2,FALSE),"Merchant not found")</f>
        <v>Merchant_008</v>
      </c>
      <c r="J163" t="str">
        <f>_xlfn.IFNA(VLOOKUP(C163,merchants!$A$2:$D$41,3,FALSE),"Merchant not found")</f>
        <v>food_delivery</v>
      </c>
      <c r="K163" t="str">
        <f>_xlfn.IFNA(VLOOKUP(C163,merchants!$A$2:$D$41,4,FALSE),"Merchant not found")</f>
        <v>North</v>
      </c>
      <c r="L163" s="2">
        <f>HLOOKUP(F163,Fees!$B$1:$E$2,2,FALSE)</f>
        <v>0.01</v>
      </c>
    </row>
    <row r="164" spans="1:12" x14ac:dyDescent="0.3">
      <c r="A164" t="s">
        <v>177</v>
      </c>
      <c r="B164">
        <v>116</v>
      </c>
      <c r="C164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  <c r="I164" t="str">
        <f>_xlfn.IFNA(VLOOKUP(C164,merchants!$A$2:$D$41,2,FALSE),"Merchant not found")</f>
        <v>Merchant_026</v>
      </c>
      <c r="J164" t="str">
        <f>_xlfn.IFNA(VLOOKUP(C164,merchants!$A$2:$D$41,3,FALSE),"Merchant not found")</f>
        <v>food_delivery</v>
      </c>
      <c r="K164" t="str">
        <f>_xlfn.IFNA(VLOOKUP(C164,merchants!$A$2:$D$41,4,FALSE),"Merchant not found")</f>
        <v>East</v>
      </c>
      <c r="L164" s="2">
        <f>HLOOKUP(F164,Fees!$B$1:$E$2,2,FALSE)</f>
        <v>0.01</v>
      </c>
    </row>
    <row r="165" spans="1:12" x14ac:dyDescent="0.3">
      <c r="A165" t="s">
        <v>178</v>
      </c>
      <c r="B165">
        <v>203</v>
      </c>
      <c r="C165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  <c r="I165" t="str">
        <f>_xlfn.IFNA(VLOOKUP(C165,merchants!$A$2:$D$41,2,FALSE),"Merchant not found")</f>
        <v>Merchant_001</v>
      </c>
      <c r="J165" t="str">
        <f>_xlfn.IFNA(VLOOKUP(C165,merchants!$A$2:$D$41,3,FALSE),"Merchant not found")</f>
        <v>ecommerce</v>
      </c>
      <c r="K165" t="str">
        <f>_xlfn.IFNA(VLOOKUP(C165,merchants!$A$2:$D$41,4,FALSE),"Merchant not found")</f>
        <v>South</v>
      </c>
      <c r="L165" s="2">
        <f>HLOOKUP(F165,Fees!$B$1:$E$2,2,FALSE)</f>
        <v>1.4999999999999999E-2</v>
      </c>
    </row>
    <row r="166" spans="1:12" x14ac:dyDescent="0.3">
      <c r="A166" t="s">
        <v>179</v>
      </c>
      <c r="B166">
        <v>189</v>
      </c>
      <c r="C166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  <c r="I166" t="str">
        <f>_xlfn.IFNA(VLOOKUP(C166,merchants!$A$2:$D$41,2,FALSE),"Merchant not found")</f>
        <v>Merchant_017</v>
      </c>
      <c r="J166" t="str">
        <f>_xlfn.IFNA(VLOOKUP(C166,merchants!$A$2:$D$41,3,FALSE),"Merchant not found")</f>
        <v>grocery</v>
      </c>
      <c r="K166" t="str">
        <f>_xlfn.IFNA(VLOOKUP(C166,merchants!$A$2:$D$41,4,FALSE),"Merchant not found")</f>
        <v>North</v>
      </c>
      <c r="L166" s="2">
        <f>HLOOKUP(F166,Fees!$B$1:$E$2,2,FALSE)</f>
        <v>0</v>
      </c>
    </row>
    <row r="167" spans="1:12" x14ac:dyDescent="0.3">
      <c r="A167" t="s">
        <v>180</v>
      </c>
      <c r="B167">
        <v>56</v>
      </c>
      <c r="C167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  <c r="I167" t="str">
        <f>_xlfn.IFNA(VLOOKUP(C167,merchants!$A$2:$D$41,2,FALSE),"Merchant not found")</f>
        <v>Merchant_015</v>
      </c>
      <c r="J167" t="str">
        <f>_xlfn.IFNA(VLOOKUP(C167,merchants!$A$2:$D$41,3,FALSE),"Merchant not found")</f>
        <v>travel</v>
      </c>
      <c r="K167" t="str">
        <f>_xlfn.IFNA(VLOOKUP(C167,merchants!$A$2:$D$41,4,FALSE),"Merchant not found")</f>
        <v>North</v>
      </c>
      <c r="L167" s="2">
        <f>HLOOKUP(F167,Fees!$B$1:$E$2,2,FALSE)</f>
        <v>0</v>
      </c>
    </row>
    <row r="168" spans="1:12" x14ac:dyDescent="0.3">
      <c r="A168" t="s">
        <v>181</v>
      </c>
      <c r="B168">
        <v>288</v>
      </c>
      <c r="C168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  <c r="I168" t="str">
        <f>_xlfn.IFNA(VLOOKUP(C168,merchants!$A$2:$D$41,2,FALSE),"Merchant not found")</f>
        <v>Merchant_021</v>
      </c>
      <c r="J168" t="str">
        <f>_xlfn.IFNA(VLOOKUP(C168,merchants!$A$2:$D$41,3,FALSE),"Merchant not found")</f>
        <v>food_delivery</v>
      </c>
      <c r="K168" t="str">
        <f>_xlfn.IFNA(VLOOKUP(C168,merchants!$A$2:$D$41,4,FALSE),"Merchant not found")</f>
        <v>East</v>
      </c>
      <c r="L168" s="2">
        <f>HLOOKUP(F168,Fees!$B$1:$E$2,2,FALSE)</f>
        <v>1.4999999999999999E-2</v>
      </c>
    </row>
    <row r="169" spans="1:12" x14ac:dyDescent="0.3">
      <c r="A169" t="s">
        <v>182</v>
      </c>
      <c r="B169">
        <v>326</v>
      </c>
      <c r="C169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  <c r="I169" t="str">
        <f>_xlfn.IFNA(VLOOKUP(C169,merchants!$A$2:$D$41,2,FALSE),"Merchant not found")</f>
        <v>Merchant_030</v>
      </c>
      <c r="J169" t="str">
        <f>_xlfn.IFNA(VLOOKUP(C169,merchants!$A$2:$D$41,3,FALSE),"Merchant not found")</f>
        <v>travel</v>
      </c>
      <c r="K169" t="str">
        <f>_xlfn.IFNA(VLOOKUP(C169,merchants!$A$2:$D$41,4,FALSE),"Merchant not found")</f>
        <v>West</v>
      </c>
      <c r="L169" s="2">
        <f>HLOOKUP(F169,Fees!$B$1:$E$2,2,FALSE)</f>
        <v>0.02</v>
      </c>
    </row>
    <row r="170" spans="1:12" x14ac:dyDescent="0.3">
      <c r="A170" t="s">
        <v>183</v>
      </c>
      <c r="B170">
        <v>60</v>
      </c>
      <c r="C170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  <c r="I170" t="str">
        <f>_xlfn.IFNA(VLOOKUP(C170,merchants!$A$2:$D$41,2,FALSE),"Merchant not found")</f>
        <v>Merchant_009</v>
      </c>
      <c r="J170" t="str">
        <f>_xlfn.IFNA(VLOOKUP(C170,merchants!$A$2:$D$41,3,FALSE),"Merchant not found")</f>
        <v>ecommerce</v>
      </c>
      <c r="K170" t="str">
        <f>_xlfn.IFNA(VLOOKUP(C170,merchants!$A$2:$D$41,4,FALSE),"Merchant not found")</f>
        <v>North</v>
      </c>
      <c r="L170" s="2">
        <f>HLOOKUP(F170,Fees!$B$1:$E$2,2,FALSE)</f>
        <v>0.01</v>
      </c>
    </row>
    <row r="171" spans="1:12" x14ac:dyDescent="0.3">
      <c r="A171" t="s">
        <v>184</v>
      </c>
      <c r="B171">
        <v>60</v>
      </c>
      <c r="C171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  <c r="I171" t="str">
        <f>_xlfn.IFNA(VLOOKUP(C171,merchants!$A$2:$D$41,2,FALSE),"Merchant not found")</f>
        <v>Merchant_007</v>
      </c>
      <c r="J171" t="str">
        <f>_xlfn.IFNA(VLOOKUP(C171,merchants!$A$2:$D$41,3,FALSE),"Merchant not found")</f>
        <v>food_delivery</v>
      </c>
      <c r="K171" t="str">
        <f>_xlfn.IFNA(VLOOKUP(C171,merchants!$A$2:$D$41,4,FALSE),"Merchant not found")</f>
        <v>East</v>
      </c>
      <c r="L171" s="2">
        <f>HLOOKUP(F171,Fees!$B$1:$E$2,2,FALSE)</f>
        <v>1.4999999999999999E-2</v>
      </c>
    </row>
    <row r="172" spans="1:12" x14ac:dyDescent="0.3">
      <c r="A172" t="s">
        <v>185</v>
      </c>
      <c r="B172">
        <v>199</v>
      </c>
      <c r="C17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  <c r="I172" t="str">
        <f>_xlfn.IFNA(VLOOKUP(C172,merchants!$A$2:$D$41,2,FALSE),"Merchant not found")</f>
        <v>Merchant_030</v>
      </c>
      <c r="J172" t="str">
        <f>_xlfn.IFNA(VLOOKUP(C172,merchants!$A$2:$D$41,3,FALSE),"Merchant not found")</f>
        <v>travel</v>
      </c>
      <c r="K172" t="str">
        <f>_xlfn.IFNA(VLOOKUP(C172,merchants!$A$2:$D$41,4,FALSE),"Merchant not found")</f>
        <v>West</v>
      </c>
      <c r="L172" s="2">
        <f>HLOOKUP(F172,Fees!$B$1:$E$2,2,FALSE)</f>
        <v>0.01</v>
      </c>
    </row>
    <row r="173" spans="1:12" x14ac:dyDescent="0.3">
      <c r="A173" t="s">
        <v>186</v>
      </c>
      <c r="B173">
        <v>277</v>
      </c>
      <c r="C173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  <c r="I173" t="str">
        <f>_xlfn.IFNA(VLOOKUP(C173,merchants!$A$2:$D$41,2,FALSE),"Merchant not found")</f>
        <v>Merchant_027</v>
      </c>
      <c r="J173" t="str">
        <f>_xlfn.IFNA(VLOOKUP(C173,merchants!$A$2:$D$41,3,FALSE),"Merchant not found")</f>
        <v>ecommerce</v>
      </c>
      <c r="K173" t="str">
        <f>_xlfn.IFNA(VLOOKUP(C173,merchants!$A$2:$D$41,4,FALSE),"Merchant not found")</f>
        <v>North</v>
      </c>
      <c r="L173" s="2">
        <f>HLOOKUP(F173,Fees!$B$1:$E$2,2,FALSE)</f>
        <v>0</v>
      </c>
    </row>
    <row r="174" spans="1:12" x14ac:dyDescent="0.3">
      <c r="A174" t="s">
        <v>187</v>
      </c>
      <c r="B174">
        <v>213</v>
      </c>
      <c r="C174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  <c r="I174" t="str">
        <f>_xlfn.IFNA(VLOOKUP(C174,merchants!$A$2:$D$41,2,FALSE),"Merchant not found")</f>
        <v>Merchant_007</v>
      </c>
      <c r="J174" t="str">
        <f>_xlfn.IFNA(VLOOKUP(C174,merchants!$A$2:$D$41,3,FALSE),"Merchant not found")</f>
        <v>food_delivery</v>
      </c>
      <c r="K174" t="str">
        <f>_xlfn.IFNA(VLOOKUP(C174,merchants!$A$2:$D$41,4,FALSE),"Merchant not found")</f>
        <v>East</v>
      </c>
      <c r="L174" s="2">
        <f>HLOOKUP(F174,Fees!$B$1:$E$2,2,FALSE)</f>
        <v>0.01</v>
      </c>
    </row>
    <row r="175" spans="1:12" x14ac:dyDescent="0.3">
      <c r="A175" t="s">
        <v>188</v>
      </c>
      <c r="B175">
        <v>17</v>
      </c>
      <c r="C175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  <c r="I175" t="str">
        <f>_xlfn.IFNA(VLOOKUP(C175,merchants!$A$2:$D$41,2,FALSE),"Merchant not found")</f>
        <v>Merchant_024</v>
      </c>
      <c r="J175" t="str">
        <f>_xlfn.IFNA(VLOOKUP(C175,merchants!$A$2:$D$41,3,FALSE),"Merchant not found")</f>
        <v>grocery</v>
      </c>
      <c r="K175" t="str">
        <f>_xlfn.IFNA(VLOOKUP(C175,merchants!$A$2:$D$41,4,FALSE),"Merchant not found")</f>
        <v>North</v>
      </c>
      <c r="L175" s="2">
        <f>HLOOKUP(F175,Fees!$B$1:$E$2,2,FALSE)</f>
        <v>0</v>
      </c>
    </row>
    <row r="176" spans="1:12" x14ac:dyDescent="0.3">
      <c r="A176" t="s">
        <v>189</v>
      </c>
      <c r="B176">
        <v>186</v>
      </c>
      <c r="C176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  <c r="I176" t="str">
        <f>_xlfn.IFNA(VLOOKUP(C176,merchants!$A$2:$D$41,2,FALSE),"Merchant not found")</f>
        <v>Merchant_007</v>
      </c>
      <c r="J176" t="str">
        <f>_xlfn.IFNA(VLOOKUP(C176,merchants!$A$2:$D$41,3,FALSE),"Merchant not found")</f>
        <v>food_delivery</v>
      </c>
      <c r="K176" t="str">
        <f>_xlfn.IFNA(VLOOKUP(C176,merchants!$A$2:$D$41,4,FALSE),"Merchant not found")</f>
        <v>East</v>
      </c>
      <c r="L176" s="2">
        <f>HLOOKUP(F176,Fees!$B$1:$E$2,2,FALSE)</f>
        <v>0.02</v>
      </c>
    </row>
    <row r="177" spans="1:12" x14ac:dyDescent="0.3">
      <c r="A177" t="s">
        <v>190</v>
      </c>
      <c r="B177">
        <v>331</v>
      </c>
      <c r="C177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  <c r="I177" t="str">
        <f>_xlfn.IFNA(VLOOKUP(C177,merchants!$A$2:$D$41,2,FALSE),"Merchant not found")</f>
        <v>Merchant_023</v>
      </c>
      <c r="J177" t="str">
        <f>_xlfn.IFNA(VLOOKUP(C177,merchants!$A$2:$D$41,3,FALSE),"Merchant not found")</f>
        <v>travel</v>
      </c>
      <c r="K177" t="str">
        <f>_xlfn.IFNA(VLOOKUP(C177,merchants!$A$2:$D$41,4,FALSE),"Merchant not found")</f>
        <v>North</v>
      </c>
      <c r="L177" s="2">
        <f>HLOOKUP(F177,Fees!$B$1:$E$2,2,FALSE)</f>
        <v>0</v>
      </c>
    </row>
    <row r="178" spans="1:12" x14ac:dyDescent="0.3">
      <c r="A178" t="s">
        <v>191</v>
      </c>
      <c r="B178">
        <v>63</v>
      </c>
      <c r="C178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  <c r="I178" t="str">
        <f>_xlfn.IFNA(VLOOKUP(C178,merchants!$A$2:$D$41,2,FALSE),"Merchant not found")</f>
        <v>Merchant_030</v>
      </c>
      <c r="J178" t="str">
        <f>_xlfn.IFNA(VLOOKUP(C178,merchants!$A$2:$D$41,3,FALSE),"Merchant not found")</f>
        <v>travel</v>
      </c>
      <c r="K178" t="str">
        <f>_xlfn.IFNA(VLOOKUP(C178,merchants!$A$2:$D$41,4,FALSE),"Merchant not found")</f>
        <v>West</v>
      </c>
      <c r="L178" s="2">
        <f>HLOOKUP(F178,Fees!$B$1:$E$2,2,FALSE)</f>
        <v>0.02</v>
      </c>
    </row>
    <row r="179" spans="1:12" x14ac:dyDescent="0.3">
      <c r="A179" t="s">
        <v>192</v>
      </c>
      <c r="B179">
        <v>328</v>
      </c>
      <c r="C179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  <c r="I179" t="str">
        <f>_xlfn.IFNA(VLOOKUP(C179,merchants!$A$2:$D$41,2,FALSE),"Merchant not found")</f>
        <v>Merchant_039</v>
      </c>
      <c r="J179" t="str">
        <f>_xlfn.IFNA(VLOOKUP(C179,merchants!$A$2:$D$41,3,FALSE),"Merchant not found")</f>
        <v>entertainment</v>
      </c>
      <c r="K179" t="str">
        <f>_xlfn.IFNA(VLOOKUP(C179,merchants!$A$2:$D$41,4,FALSE),"Merchant not found")</f>
        <v>North</v>
      </c>
      <c r="L179" s="2">
        <f>HLOOKUP(F179,Fees!$B$1:$E$2,2,FALSE)</f>
        <v>1.4999999999999999E-2</v>
      </c>
    </row>
    <row r="180" spans="1:12" x14ac:dyDescent="0.3">
      <c r="A180" t="s">
        <v>193</v>
      </c>
      <c r="B180">
        <v>65</v>
      </c>
      <c r="C180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  <c r="I180" t="str">
        <f>_xlfn.IFNA(VLOOKUP(C180,merchants!$A$2:$D$41,2,FALSE),"Merchant not found")</f>
        <v>Merchant_037</v>
      </c>
      <c r="J180" t="str">
        <f>_xlfn.IFNA(VLOOKUP(C180,merchants!$A$2:$D$41,3,FALSE),"Merchant not found")</f>
        <v>entertainment</v>
      </c>
      <c r="K180" t="str">
        <f>_xlfn.IFNA(VLOOKUP(C180,merchants!$A$2:$D$41,4,FALSE),"Merchant not found")</f>
        <v>South</v>
      </c>
      <c r="L180" s="2">
        <f>HLOOKUP(F180,Fees!$B$1:$E$2,2,FALSE)</f>
        <v>0.02</v>
      </c>
    </row>
    <row r="181" spans="1:12" x14ac:dyDescent="0.3">
      <c r="A181" t="s">
        <v>194</v>
      </c>
      <c r="B181">
        <v>301</v>
      </c>
      <c r="C181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  <c r="I181" t="str">
        <f>_xlfn.IFNA(VLOOKUP(C181,merchants!$A$2:$D$41,2,FALSE),"Merchant not found")</f>
        <v>Merchant_014</v>
      </c>
      <c r="J181" t="str">
        <f>_xlfn.IFNA(VLOOKUP(C181,merchants!$A$2:$D$41,3,FALSE),"Merchant not found")</f>
        <v>grocery</v>
      </c>
      <c r="K181" t="str">
        <f>_xlfn.IFNA(VLOOKUP(C181,merchants!$A$2:$D$41,4,FALSE),"Merchant not found")</f>
        <v>East</v>
      </c>
      <c r="L181" s="2">
        <f>HLOOKUP(F181,Fees!$B$1:$E$2,2,FALSE)</f>
        <v>0</v>
      </c>
    </row>
    <row r="182" spans="1:12" x14ac:dyDescent="0.3">
      <c r="A182" t="s">
        <v>195</v>
      </c>
      <c r="B182">
        <v>306</v>
      </c>
      <c r="C18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  <c r="I182" t="str">
        <f>_xlfn.IFNA(VLOOKUP(C182,merchants!$A$2:$D$41,2,FALSE),"Merchant not found")</f>
        <v>Merchant_001</v>
      </c>
      <c r="J182" t="str">
        <f>_xlfn.IFNA(VLOOKUP(C182,merchants!$A$2:$D$41,3,FALSE),"Merchant not found")</f>
        <v>ecommerce</v>
      </c>
      <c r="K182" t="str">
        <f>_xlfn.IFNA(VLOOKUP(C182,merchants!$A$2:$D$41,4,FALSE),"Merchant not found")</f>
        <v>South</v>
      </c>
      <c r="L182" s="2">
        <f>HLOOKUP(F182,Fees!$B$1:$E$2,2,FALSE)</f>
        <v>0</v>
      </c>
    </row>
    <row r="183" spans="1:12" x14ac:dyDescent="0.3">
      <c r="A183" t="s">
        <v>196</v>
      </c>
      <c r="B183">
        <v>277</v>
      </c>
      <c r="C183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  <c r="I183" t="str">
        <f>_xlfn.IFNA(VLOOKUP(C183,merchants!$A$2:$D$41,2,FALSE),"Merchant not found")</f>
        <v>Merchant_017</v>
      </c>
      <c r="J183" t="str">
        <f>_xlfn.IFNA(VLOOKUP(C183,merchants!$A$2:$D$41,3,FALSE),"Merchant not found")</f>
        <v>grocery</v>
      </c>
      <c r="K183" t="str">
        <f>_xlfn.IFNA(VLOOKUP(C183,merchants!$A$2:$D$41,4,FALSE),"Merchant not found")</f>
        <v>North</v>
      </c>
      <c r="L183" s="2">
        <f>HLOOKUP(F183,Fees!$B$1:$E$2,2,FALSE)</f>
        <v>0</v>
      </c>
    </row>
    <row r="184" spans="1:12" x14ac:dyDescent="0.3">
      <c r="A184" t="s">
        <v>197</v>
      </c>
      <c r="B184">
        <v>14</v>
      </c>
      <c r="C184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  <c r="I184" t="str">
        <f>_xlfn.IFNA(VLOOKUP(C184,merchants!$A$2:$D$41,2,FALSE),"Merchant not found")</f>
        <v>Merchant_009</v>
      </c>
      <c r="J184" t="str">
        <f>_xlfn.IFNA(VLOOKUP(C184,merchants!$A$2:$D$41,3,FALSE),"Merchant not found")</f>
        <v>ecommerce</v>
      </c>
      <c r="K184" t="str">
        <f>_xlfn.IFNA(VLOOKUP(C184,merchants!$A$2:$D$41,4,FALSE),"Merchant not found")</f>
        <v>North</v>
      </c>
      <c r="L184" s="2">
        <f>HLOOKUP(F184,Fees!$B$1:$E$2,2,FALSE)</f>
        <v>0</v>
      </c>
    </row>
    <row r="185" spans="1:12" x14ac:dyDescent="0.3">
      <c r="A185" t="s">
        <v>198</v>
      </c>
      <c r="B185">
        <v>166</v>
      </c>
      <c r="C185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  <c r="I185" t="str">
        <f>_xlfn.IFNA(VLOOKUP(C185,merchants!$A$2:$D$41,2,FALSE),"Merchant not found")</f>
        <v>Merchant_002</v>
      </c>
      <c r="J185" t="str">
        <f>_xlfn.IFNA(VLOOKUP(C185,merchants!$A$2:$D$41,3,FALSE),"Merchant not found")</f>
        <v>grocery</v>
      </c>
      <c r="K185" t="str">
        <f>_xlfn.IFNA(VLOOKUP(C185,merchants!$A$2:$D$41,4,FALSE),"Merchant not found")</f>
        <v>West</v>
      </c>
      <c r="L185" s="2">
        <f>HLOOKUP(F185,Fees!$B$1:$E$2,2,FALSE)</f>
        <v>0.02</v>
      </c>
    </row>
    <row r="186" spans="1:12" x14ac:dyDescent="0.3">
      <c r="A186" t="s">
        <v>199</v>
      </c>
      <c r="B186">
        <v>216</v>
      </c>
      <c r="C186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  <c r="I186" t="str">
        <f>_xlfn.IFNA(VLOOKUP(C186,merchants!$A$2:$D$41,2,FALSE),"Merchant not found")</f>
        <v>Merchant_034</v>
      </c>
      <c r="J186" t="str">
        <f>_xlfn.IFNA(VLOOKUP(C186,merchants!$A$2:$D$41,3,FALSE),"Merchant not found")</f>
        <v>travel</v>
      </c>
      <c r="K186" t="str">
        <f>_xlfn.IFNA(VLOOKUP(C186,merchants!$A$2:$D$41,4,FALSE),"Merchant not found")</f>
        <v>South</v>
      </c>
      <c r="L186" s="2">
        <f>HLOOKUP(F186,Fees!$B$1:$E$2,2,FALSE)</f>
        <v>0.02</v>
      </c>
    </row>
    <row r="187" spans="1:12" x14ac:dyDescent="0.3">
      <c r="A187" t="s">
        <v>200</v>
      </c>
      <c r="B187">
        <v>230</v>
      </c>
      <c r="C187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  <c r="I187" t="str">
        <f>_xlfn.IFNA(VLOOKUP(C187,merchants!$A$2:$D$41,2,FALSE),"Merchant not found")</f>
        <v>Merchant_024</v>
      </c>
      <c r="J187" t="str">
        <f>_xlfn.IFNA(VLOOKUP(C187,merchants!$A$2:$D$41,3,FALSE),"Merchant not found")</f>
        <v>grocery</v>
      </c>
      <c r="K187" t="str">
        <f>_xlfn.IFNA(VLOOKUP(C187,merchants!$A$2:$D$41,4,FALSE),"Merchant not found")</f>
        <v>North</v>
      </c>
      <c r="L187" s="2">
        <f>HLOOKUP(F187,Fees!$B$1:$E$2,2,FALSE)</f>
        <v>0</v>
      </c>
    </row>
    <row r="188" spans="1:12" x14ac:dyDescent="0.3">
      <c r="A188" t="s">
        <v>201</v>
      </c>
      <c r="B188">
        <v>258</v>
      </c>
      <c r="C188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  <c r="I188" t="str">
        <f>_xlfn.IFNA(VLOOKUP(C188,merchants!$A$2:$D$41,2,FALSE),"Merchant not found")</f>
        <v>Merchant_015</v>
      </c>
      <c r="J188" t="str">
        <f>_xlfn.IFNA(VLOOKUP(C188,merchants!$A$2:$D$41,3,FALSE),"Merchant not found")</f>
        <v>travel</v>
      </c>
      <c r="K188" t="str">
        <f>_xlfn.IFNA(VLOOKUP(C188,merchants!$A$2:$D$41,4,FALSE),"Merchant not found")</f>
        <v>North</v>
      </c>
      <c r="L188" s="2">
        <f>HLOOKUP(F188,Fees!$B$1:$E$2,2,FALSE)</f>
        <v>1.4999999999999999E-2</v>
      </c>
    </row>
    <row r="189" spans="1:12" x14ac:dyDescent="0.3">
      <c r="A189" t="s">
        <v>202</v>
      </c>
      <c r="B189">
        <v>338</v>
      </c>
      <c r="C189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  <c r="I189" t="str">
        <f>_xlfn.IFNA(VLOOKUP(C189,merchants!$A$2:$D$41,2,FALSE),"Merchant not found")</f>
        <v>Merchant_034</v>
      </c>
      <c r="J189" t="str">
        <f>_xlfn.IFNA(VLOOKUP(C189,merchants!$A$2:$D$41,3,FALSE),"Merchant not found")</f>
        <v>travel</v>
      </c>
      <c r="K189" t="str">
        <f>_xlfn.IFNA(VLOOKUP(C189,merchants!$A$2:$D$41,4,FALSE),"Merchant not found")</f>
        <v>South</v>
      </c>
      <c r="L189" s="2">
        <f>HLOOKUP(F189,Fees!$B$1:$E$2,2,FALSE)</f>
        <v>0</v>
      </c>
    </row>
    <row r="190" spans="1:12" x14ac:dyDescent="0.3">
      <c r="A190" t="s">
        <v>203</v>
      </c>
      <c r="B190">
        <v>32</v>
      </c>
      <c r="C190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  <c r="I190" t="str">
        <f>_xlfn.IFNA(VLOOKUP(C190,merchants!$A$2:$D$41,2,FALSE),"Merchant not found")</f>
        <v>Merchant_031</v>
      </c>
      <c r="J190" t="str">
        <f>_xlfn.IFNA(VLOOKUP(C190,merchants!$A$2:$D$41,3,FALSE),"Merchant not found")</f>
        <v>bill_payment</v>
      </c>
      <c r="K190" t="str">
        <f>_xlfn.IFNA(VLOOKUP(C190,merchants!$A$2:$D$41,4,FALSE),"Merchant not found")</f>
        <v>East</v>
      </c>
      <c r="L190" s="2">
        <f>HLOOKUP(F190,Fees!$B$1:$E$2,2,FALSE)</f>
        <v>0</v>
      </c>
    </row>
    <row r="191" spans="1:12" x14ac:dyDescent="0.3">
      <c r="A191" t="s">
        <v>204</v>
      </c>
      <c r="B191">
        <v>252</v>
      </c>
      <c r="C191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  <c r="I191" t="str">
        <f>_xlfn.IFNA(VLOOKUP(C191,merchants!$A$2:$D$41,2,FALSE),"Merchant not found")</f>
        <v>Merchant_029</v>
      </c>
      <c r="J191" t="str">
        <f>_xlfn.IFNA(VLOOKUP(C191,merchants!$A$2:$D$41,3,FALSE),"Merchant not found")</f>
        <v>ecommerce</v>
      </c>
      <c r="K191" t="str">
        <f>_xlfn.IFNA(VLOOKUP(C191,merchants!$A$2:$D$41,4,FALSE),"Merchant not found")</f>
        <v>North</v>
      </c>
      <c r="L191" s="2">
        <f>HLOOKUP(F191,Fees!$B$1:$E$2,2,FALSE)</f>
        <v>0</v>
      </c>
    </row>
    <row r="192" spans="1:12" x14ac:dyDescent="0.3">
      <c r="A192" t="s">
        <v>205</v>
      </c>
      <c r="B192">
        <v>312</v>
      </c>
      <c r="C19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  <c r="I192" t="str">
        <f>_xlfn.IFNA(VLOOKUP(C192,merchants!$A$2:$D$41,2,FALSE),"Merchant not found")</f>
        <v>Merchant_010</v>
      </c>
      <c r="J192" t="str">
        <f>_xlfn.IFNA(VLOOKUP(C192,merchants!$A$2:$D$41,3,FALSE),"Merchant not found")</f>
        <v>grocery</v>
      </c>
      <c r="K192" t="str">
        <f>_xlfn.IFNA(VLOOKUP(C192,merchants!$A$2:$D$41,4,FALSE),"Merchant not found")</f>
        <v>West</v>
      </c>
      <c r="L192" s="2">
        <f>HLOOKUP(F192,Fees!$B$1:$E$2,2,FALSE)</f>
        <v>0</v>
      </c>
    </row>
    <row r="193" spans="1:12" x14ac:dyDescent="0.3">
      <c r="A193" t="s">
        <v>206</v>
      </c>
      <c r="B193">
        <v>325</v>
      </c>
      <c r="C193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  <c r="I193" t="str">
        <f>_xlfn.IFNA(VLOOKUP(C193,merchants!$A$2:$D$41,2,FALSE),"Merchant not found")</f>
        <v>Merchant_038</v>
      </c>
      <c r="J193" t="str">
        <f>_xlfn.IFNA(VLOOKUP(C193,merchants!$A$2:$D$41,3,FALSE),"Merchant not found")</f>
        <v>grocery</v>
      </c>
      <c r="K193" t="str">
        <f>_xlfn.IFNA(VLOOKUP(C193,merchants!$A$2:$D$41,4,FALSE),"Merchant not found")</f>
        <v>East</v>
      </c>
      <c r="L193" s="2">
        <f>HLOOKUP(F193,Fees!$B$1:$E$2,2,FALSE)</f>
        <v>0.01</v>
      </c>
    </row>
    <row r="194" spans="1:12" x14ac:dyDescent="0.3">
      <c r="A194" t="s">
        <v>207</v>
      </c>
      <c r="B194">
        <v>306</v>
      </c>
      <c r="C194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  <c r="I194" t="str">
        <f>_xlfn.IFNA(VLOOKUP(C194,merchants!$A$2:$D$41,2,FALSE),"Merchant not found")</f>
        <v>Merchant_034</v>
      </c>
      <c r="J194" t="str">
        <f>_xlfn.IFNA(VLOOKUP(C194,merchants!$A$2:$D$41,3,FALSE),"Merchant not found")</f>
        <v>travel</v>
      </c>
      <c r="K194" t="str">
        <f>_xlfn.IFNA(VLOOKUP(C194,merchants!$A$2:$D$41,4,FALSE),"Merchant not found")</f>
        <v>South</v>
      </c>
      <c r="L194" s="2">
        <f>HLOOKUP(F194,Fees!$B$1:$E$2,2,FALSE)</f>
        <v>0</v>
      </c>
    </row>
    <row r="195" spans="1:12" x14ac:dyDescent="0.3">
      <c r="A195" t="s">
        <v>208</v>
      </c>
      <c r="B195">
        <v>221</v>
      </c>
      <c r="C195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  <c r="I195" t="str">
        <f>_xlfn.IFNA(VLOOKUP(C195,merchants!$A$2:$D$41,2,FALSE),"Merchant not found")</f>
        <v>Merchant_007</v>
      </c>
      <c r="J195" t="str">
        <f>_xlfn.IFNA(VLOOKUP(C195,merchants!$A$2:$D$41,3,FALSE),"Merchant not found")</f>
        <v>food_delivery</v>
      </c>
      <c r="K195" t="str">
        <f>_xlfn.IFNA(VLOOKUP(C195,merchants!$A$2:$D$41,4,FALSE),"Merchant not found")</f>
        <v>East</v>
      </c>
      <c r="L195" s="2">
        <f>HLOOKUP(F195,Fees!$B$1:$E$2,2,FALSE)</f>
        <v>0.01</v>
      </c>
    </row>
    <row r="196" spans="1:12" x14ac:dyDescent="0.3">
      <c r="A196" t="s">
        <v>209</v>
      </c>
      <c r="B196">
        <v>283</v>
      </c>
      <c r="C196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  <c r="I196" t="str">
        <f>_xlfn.IFNA(VLOOKUP(C196,merchants!$A$2:$D$41,2,FALSE),"Merchant not found")</f>
        <v>Merchant_014</v>
      </c>
      <c r="J196" t="str">
        <f>_xlfn.IFNA(VLOOKUP(C196,merchants!$A$2:$D$41,3,FALSE),"Merchant not found")</f>
        <v>grocery</v>
      </c>
      <c r="K196" t="str">
        <f>_xlfn.IFNA(VLOOKUP(C196,merchants!$A$2:$D$41,4,FALSE),"Merchant not found")</f>
        <v>East</v>
      </c>
      <c r="L196" s="2">
        <f>HLOOKUP(F196,Fees!$B$1:$E$2,2,FALSE)</f>
        <v>1.4999999999999999E-2</v>
      </c>
    </row>
    <row r="197" spans="1:12" x14ac:dyDescent="0.3">
      <c r="A197" t="s">
        <v>210</v>
      </c>
      <c r="B197">
        <v>174</v>
      </c>
      <c r="C197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  <c r="I197" t="str">
        <f>_xlfn.IFNA(VLOOKUP(C197,merchants!$A$2:$D$41,2,FALSE),"Merchant not found")</f>
        <v>Merchant_030</v>
      </c>
      <c r="J197" t="str">
        <f>_xlfn.IFNA(VLOOKUP(C197,merchants!$A$2:$D$41,3,FALSE),"Merchant not found")</f>
        <v>travel</v>
      </c>
      <c r="K197" t="str">
        <f>_xlfn.IFNA(VLOOKUP(C197,merchants!$A$2:$D$41,4,FALSE),"Merchant not found")</f>
        <v>West</v>
      </c>
      <c r="L197" s="2">
        <f>HLOOKUP(F197,Fees!$B$1:$E$2,2,FALSE)</f>
        <v>0</v>
      </c>
    </row>
    <row r="198" spans="1:12" x14ac:dyDescent="0.3">
      <c r="A198" t="s">
        <v>211</v>
      </c>
      <c r="B198">
        <v>161</v>
      </c>
      <c r="C198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  <c r="I198" t="str">
        <f>_xlfn.IFNA(VLOOKUP(C198,merchants!$A$2:$D$41,2,FALSE),"Merchant not found")</f>
        <v>Merchant_028</v>
      </c>
      <c r="J198" t="str">
        <f>_xlfn.IFNA(VLOOKUP(C198,merchants!$A$2:$D$41,3,FALSE),"Merchant not found")</f>
        <v>ecommerce</v>
      </c>
      <c r="K198" t="str">
        <f>_xlfn.IFNA(VLOOKUP(C198,merchants!$A$2:$D$41,4,FALSE),"Merchant not found")</f>
        <v>South</v>
      </c>
      <c r="L198" s="2">
        <f>HLOOKUP(F198,Fees!$B$1:$E$2,2,FALSE)</f>
        <v>0</v>
      </c>
    </row>
    <row r="199" spans="1:12" x14ac:dyDescent="0.3">
      <c r="A199" t="s">
        <v>212</v>
      </c>
      <c r="B199">
        <v>79</v>
      </c>
      <c r="C199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  <c r="I199" t="str">
        <f>_xlfn.IFNA(VLOOKUP(C199,merchants!$A$2:$D$41,2,FALSE),"Merchant not found")</f>
        <v>Merchant_031</v>
      </c>
      <c r="J199" t="str">
        <f>_xlfn.IFNA(VLOOKUP(C199,merchants!$A$2:$D$41,3,FALSE),"Merchant not found")</f>
        <v>bill_payment</v>
      </c>
      <c r="K199" t="str">
        <f>_xlfn.IFNA(VLOOKUP(C199,merchants!$A$2:$D$41,4,FALSE),"Merchant not found")</f>
        <v>East</v>
      </c>
      <c r="L199" s="2">
        <f>HLOOKUP(F199,Fees!$B$1:$E$2,2,FALSE)</f>
        <v>0</v>
      </c>
    </row>
    <row r="200" spans="1:12" x14ac:dyDescent="0.3">
      <c r="A200" t="s">
        <v>213</v>
      </c>
      <c r="B200">
        <v>222</v>
      </c>
      <c r="C200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  <c r="I200" t="str">
        <f>_xlfn.IFNA(VLOOKUP(C200,merchants!$A$2:$D$41,2,FALSE),"Merchant not found")</f>
        <v>Merchant_007</v>
      </c>
      <c r="J200" t="str">
        <f>_xlfn.IFNA(VLOOKUP(C200,merchants!$A$2:$D$41,3,FALSE),"Merchant not found")</f>
        <v>food_delivery</v>
      </c>
      <c r="K200" t="str">
        <f>_xlfn.IFNA(VLOOKUP(C200,merchants!$A$2:$D$41,4,FALSE),"Merchant not found")</f>
        <v>East</v>
      </c>
      <c r="L200" s="2">
        <f>HLOOKUP(F200,Fees!$B$1:$E$2,2,FALSE)</f>
        <v>1.4999999999999999E-2</v>
      </c>
    </row>
    <row r="201" spans="1:12" x14ac:dyDescent="0.3">
      <c r="A201" t="s">
        <v>214</v>
      </c>
      <c r="B201">
        <v>67</v>
      </c>
      <c r="C201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  <c r="I201" t="str">
        <f>_xlfn.IFNA(VLOOKUP(C201,merchants!$A$2:$D$41,2,FALSE),"Merchant not found")</f>
        <v>Merchant_036</v>
      </c>
      <c r="J201" t="str">
        <f>_xlfn.IFNA(VLOOKUP(C201,merchants!$A$2:$D$41,3,FALSE),"Merchant not found")</f>
        <v>entertainment</v>
      </c>
      <c r="K201" t="str">
        <f>_xlfn.IFNA(VLOOKUP(C201,merchants!$A$2:$D$41,4,FALSE),"Merchant not found")</f>
        <v>East</v>
      </c>
      <c r="L201" s="2">
        <f>HLOOKUP(F201,Fees!$B$1:$E$2,2,FALSE)</f>
        <v>0</v>
      </c>
    </row>
    <row r="202" spans="1:12" x14ac:dyDescent="0.3">
      <c r="A202" t="s">
        <v>215</v>
      </c>
      <c r="B202">
        <v>169</v>
      </c>
      <c r="C20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  <c r="I202" t="str">
        <f>_xlfn.IFNA(VLOOKUP(C202,merchants!$A$2:$D$41,2,FALSE),"Merchant not found")</f>
        <v>Merchant_008</v>
      </c>
      <c r="J202" t="str">
        <f>_xlfn.IFNA(VLOOKUP(C202,merchants!$A$2:$D$41,3,FALSE),"Merchant not found")</f>
        <v>food_delivery</v>
      </c>
      <c r="K202" t="str">
        <f>_xlfn.IFNA(VLOOKUP(C202,merchants!$A$2:$D$41,4,FALSE),"Merchant not found")</f>
        <v>North</v>
      </c>
      <c r="L202" s="2">
        <f>HLOOKUP(F202,Fees!$B$1:$E$2,2,FALSE)</f>
        <v>0</v>
      </c>
    </row>
    <row r="203" spans="1:12" x14ac:dyDescent="0.3">
      <c r="A203" t="s">
        <v>216</v>
      </c>
      <c r="B203">
        <v>217</v>
      </c>
      <c r="C203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  <c r="I203" t="str">
        <f>_xlfn.IFNA(VLOOKUP(C203,merchants!$A$2:$D$41,2,FALSE),"Merchant not found")</f>
        <v>Merchant_004</v>
      </c>
      <c r="J203" t="str">
        <f>_xlfn.IFNA(VLOOKUP(C203,merchants!$A$2:$D$41,3,FALSE),"Merchant not found")</f>
        <v>ecommerce</v>
      </c>
      <c r="K203" t="str">
        <f>_xlfn.IFNA(VLOOKUP(C203,merchants!$A$2:$D$41,4,FALSE),"Merchant not found")</f>
        <v>East</v>
      </c>
      <c r="L203" s="2">
        <f>HLOOKUP(F203,Fees!$B$1:$E$2,2,FALSE)</f>
        <v>0</v>
      </c>
    </row>
    <row r="204" spans="1:12" x14ac:dyDescent="0.3">
      <c r="A204" t="s">
        <v>217</v>
      </c>
      <c r="B204">
        <v>54</v>
      </c>
      <c r="C204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  <c r="I204" t="str">
        <f>_xlfn.IFNA(VLOOKUP(C204,merchants!$A$2:$D$41,2,FALSE),"Merchant not found")</f>
        <v>Merchant_037</v>
      </c>
      <c r="J204" t="str">
        <f>_xlfn.IFNA(VLOOKUP(C204,merchants!$A$2:$D$41,3,FALSE),"Merchant not found")</f>
        <v>entertainment</v>
      </c>
      <c r="K204" t="str">
        <f>_xlfn.IFNA(VLOOKUP(C204,merchants!$A$2:$D$41,4,FALSE),"Merchant not found")</f>
        <v>South</v>
      </c>
      <c r="L204" s="2">
        <f>HLOOKUP(F204,Fees!$B$1:$E$2,2,FALSE)</f>
        <v>0</v>
      </c>
    </row>
    <row r="205" spans="1:12" x14ac:dyDescent="0.3">
      <c r="A205" t="s">
        <v>218</v>
      </c>
      <c r="B205">
        <v>247</v>
      </c>
      <c r="C205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  <c r="I205" t="str">
        <f>_xlfn.IFNA(VLOOKUP(C205,merchants!$A$2:$D$41,2,FALSE),"Merchant not found")</f>
        <v>Merchant_015</v>
      </c>
      <c r="J205" t="str">
        <f>_xlfn.IFNA(VLOOKUP(C205,merchants!$A$2:$D$41,3,FALSE),"Merchant not found")</f>
        <v>travel</v>
      </c>
      <c r="K205" t="str">
        <f>_xlfn.IFNA(VLOOKUP(C205,merchants!$A$2:$D$41,4,FALSE),"Merchant not found")</f>
        <v>North</v>
      </c>
      <c r="L205" s="2">
        <f>HLOOKUP(F205,Fees!$B$1:$E$2,2,FALSE)</f>
        <v>0.02</v>
      </c>
    </row>
    <row r="206" spans="1:12" x14ac:dyDescent="0.3">
      <c r="A206" t="s">
        <v>219</v>
      </c>
      <c r="B206">
        <v>59</v>
      </c>
      <c r="C206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  <c r="I206" t="str">
        <f>_xlfn.IFNA(VLOOKUP(C206,merchants!$A$2:$D$41,2,FALSE),"Merchant not found")</f>
        <v>Merchant_018</v>
      </c>
      <c r="J206" t="str">
        <f>_xlfn.IFNA(VLOOKUP(C206,merchants!$A$2:$D$41,3,FALSE),"Merchant not found")</f>
        <v>grocery</v>
      </c>
      <c r="K206" t="str">
        <f>_xlfn.IFNA(VLOOKUP(C206,merchants!$A$2:$D$41,4,FALSE),"Merchant not found")</f>
        <v>West</v>
      </c>
      <c r="L206" s="2">
        <f>HLOOKUP(F206,Fees!$B$1:$E$2,2,FALSE)</f>
        <v>0.02</v>
      </c>
    </row>
    <row r="207" spans="1:12" x14ac:dyDescent="0.3">
      <c r="A207" t="s">
        <v>220</v>
      </c>
      <c r="B207">
        <v>288</v>
      </c>
      <c r="C207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  <c r="I207" t="str">
        <f>_xlfn.IFNA(VLOOKUP(C207,merchants!$A$2:$D$41,2,FALSE),"Merchant not found")</f>
        <v>Merchant_040</v>
      </c>
      <c r="J207" t="str">
        <f>_xlfn.IFNA(VLOOKUP(C207,merchants!$A$2:$D$41,3,FALSE),"Merchant not found")</f>
        <v>entertainment</v>
      </c>
      <c r="K207" t="str">
        <f>_xlfn.IFNA(VLOOKUP(C207,merchants!$A$2:$D$41,4,FALSE),"Merchant not found")</f>
        <v>South</v>
      </c>
      <c r="L207" s="2">
        <f>HLOOKUP(F207,Fees!$B$1:$E$2,2,FALSE)</f>
        <v>0</v>
      </c>
    </row>
    <row r="208" spans="1:12" x14ac:dyDescent="0.3">
      <c r="A208" t="s">
        <v>221</v>
      </c>
      <c r="B208">
        <v>14</v>
      </c>
      <c r="C208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  <c r="I208" t="str">
        <f>_xlfn.IFNA(VLOOKUP(C208,merchants!$A$2:$D$41,2,FALSE),"Merchant not found")</f>
        <v>Merchant_039</v>
      </c>
      <c r="J208" t="str">
        <f>_xlfn.IFNA(VLOOKUP(C208,merchants!$A$2:$D$41,3,FALSE),"Merchant not found")</f>
        <v>entertainment</v>
      </c>
      <c r="K208" t="str">
        <f>_xlfn.IFNA(VLOOKUP(C208,merchants!$A$2:$D$41,4,FALSE),"Merchant not found")</f>
        <v>North</v>
      </c>
      <c r="L208" s="2">
        <f>HLOOKUP(F208,Fees!$B$1:$E$2,2,FALSE)</f>
        <v>0</v>
      </c>
    </row>
    <row r="209" spans="1:12" x14ac:dyDescent="0.3">
      <c r="A209" t="s">
        <v>222</v>
      </c>
      <c r="B209">
        <v>15</v>
      </c>
      <c r="C209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  <c r="I209" t="str">
        <f>_xlfn.IFNA(VLOOKUP(C209,merchants!$A$2:$D$41,2,FALSE),"Merchant not found")</f>
        <v>Merchant_012</v>
      </c>
      <c r="J209" t="str">
        <f>_xlfn.IFNA(VLOOKUP(C209,merchants!$A$2:$D$41,3,FALSE),"Merchant not found")</f>
        <v>ecommerce</v>
      </c>
      <c r="K209" t="str">
        <f>_xlfn.IFNA(VLOOKUP(C209,merchants!$A$2:$D$41,4,FALSE),"Merchant not found")</f>
        <v>East</v>
      </c>
      <c r="L209" s="2">
        <f>HLOOKUP(F209,Fees!$B$1:$E$2,2,FALSE)</f>
        <v>0</v>
      </c>
    </row>
    <row r="210" spans="1:12" x14ac:dyDescent="0.3">
      <c r="A210" t="s">
        <v>223</v>
      </c>
      <c r="B210">
        <v>174</v>
      </c>
      <c r="C210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  <c r="I210" t="str">
        <f>_xlfn.IFNA(VLOOKUP(C210,merchants!$A$2:$D$41,2,FALSE),"Merchant not found")</f>
        <v>Merchant_023</v>
      </c>
      <c r="J210" t="str">
        <f>_xlfn.IFNA(VLOOKUP(C210,merchants!$A$2:$D$41,3,FALSE),"Merchant not found")</f>
        <v>travel</v>
      </c>
      <c r="K210" t="str">
        <f>_xlfn.IFNA(VLOOKUP(C210,merchants!$A$2:$D$41,4,FALSE),"Merchant not found")</f>
        <v>North</v>
      </c>
      <c r="L210" s="2">
        <f>HLOOKUP(F210,Fees!$B$1:$E$2,2,FALSE)</f>
        <v>0</v>
      </c>
    </row>
    <row r="211" spans="1:12" x14ac:dyDescent="0.3">
      <c r="A211" t="s">
        <v>224</v>
      </c>
      <c r="B211">
        <v>337</v>
      </c>
      <c r="C211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  <c r="I211" t="str">
        <f>_xlfn.IFNA(VLOOKUP(C211,merchants!$A$2:$D$41,2,FALSE),"Merchant not found")</f>
        <v>Merchant_026</v>
      </c>
      <c r="J211" t="str">
        <f>_xlfn.IFNA(VLOOKUP(C211,merchants!$A$2:$D$41,3,FALSE),"Merchant not found")</f>
        <v>food_delivery</v>
      </c>
      <c r="K211" t="str">
        <f>_xlfn.IFNA(VLOOKUP(C211,merchants!$A$2:$D$41,4,FALSE),"Merchant not found")</f>
        <v>East</v>
      </c>
      <c r="L211" s="2">
        <f>HLOOKUP(F211,Fees!$B$1:$E$2,2,FALSE)</f>
        <v>0</v>
      </c>
    </row>
    <row r="212" spans="1:12" x14ac:dyDescent="0.3">
      <c r="A212" t="s">
        <v>225</v>
      </c>
      <c r="B212">
        <v>16</v>
      </c>
      <c r="C21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  <c r="I212" t="str">
        <f>_xlfn.IFNA(VLOOKUP(C212,merchants!$A$2:$D$41,2,FALSE),"Merchant not found")</f>
        <v>Merchant_006</v>
      </c>
      <c r="J212" t="str">
        <f>_xlfn.IFNA(VLOOKUP(C212,merchants!$A$2:$D$41,3,FALSE),"Merchant not found")</f>
        <v>food_delivery</v>
      </c>
      <c r="K212" t="str">
        <f>_xlfn.IFNA(VLOOKUP(C212,merchants!$A$2:$D$41,4,FALSE),"Merchant not found")</f>
        <v>South</v>
      </c>
      <c r="L212" s="2">
        <f>HLOOKUP(F212,Fees!$B$1:$E$2,2,FALSE)</f>
        <v>0</v>
      </c>
    </row>
    <row r="213" spans="1:12" x14ac:dyDescent="0.3">
      <c r="A213" t="s">
        <v>226</v>
      </c>
      <c r="B213">
        <v>215</v>
      </c>
      <c r="C213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  <c r="I213" t="str">
        <f>_xlfn.IFNA(VLOOKUP(C213,merchants!$A$2:$D$41,2,FALSE),"Merchant not found")</f>
        <v>Merchant_030</v>
      </c>
      <c r="J213" t="str">
        <f>_xlfn.IFNA(VLOOKUP(C213,merchants!$A$2:$D$41,3,FALSE),"Merchant not found")</f>
        <v>travel</v>
      </c>
      <c r="K213" t="str">
        <f>_xlfn.IFNA(VLOOKUP(C213,merchants!$A$2:$D$41,4,FALSE),"Merchant not found")</f>
        <v>West</v>
      </c>
      <c r="L213" s="2">
        <f>HLOOKUP(F213,Fees!$B$1:$E$2,2,FALSE)</f>
        <v>0</v>
      </c>
    </row>
    <row r="214" spans="1:12" x14ac:dyDescent="0.3">
      <c r="A214" t="s">
        <v>227</v>
      </c>
      <c r="B214">
        <v>167</v>
      </c>
      <c r="C214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  <c r="I214" t="str">
        <f>_xlfn.IFNA(VLOOKUP(C214,merchants!$A$2:$D$41,2,FALSE),"Merchant not found")</f>
        <v>Merchant_037</v>
      </c>
      <c r="J214" t="str">
        <f>_xlfn.IFNA(VLOOKUP(C214,merchants!$A$2:$D$41,3,FALSE),"Merchant not found")</f>
        <v>entertainment</v>
      </c>
      <c r="K214" t="str">
        <f>_xlfn.IFNA(VLOOKUP(C214,merchants!$A$2:$D$41,4,FALSE),"Merchant not found")</f>
        <v>South</v>
      </c>
      <c r="L214" s="2">
        <f>HLOOKUP(F214,Fees!$B$1:$E$2,2,FALSE)</f>
        <v>0</v>
      </c>
    </row>
    <row r="215" spans="1:12" x14ac:dyDescent="0.3">
      <c r="A215" t="s">
        <v>228</v>
      </c>
      <c r="B215">
        <v>81</v>
      </c>
      <c r="C215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  <c r="I215" t="str">
        <f>_xlfn.IFNA(VLOOKUP(C215,merchants!$A$2:$D$41,2,FALSE),"Merchant not found")</f>
        <v>Merchant_040</v>
      </c>
      <c r="J215" t="str">
        <f>_xlfn.IFNA(VLOOKUP(C215,merchants!$A$2:$D$41,3,FALSE),"Merchant not found")</f>
        <v>entertainment</v>
      </c>
      <c r="K215" t="str">
        <f>_xlfn.IFNA(VLOOKUP(C215,merchants!$A$2:$D$41,4,FALSE),"Merchant not found")</f>
        <v>South</v>
      </c>
      <c r="L215" s="2">
        <f>HLOOKUP(F215,Fees!$B$1:$E$2,2,FALSE)</f>
        <v>0</v>
      </c>
    </row>
    <row r="216" spans="1:12" x14ac:dyDescent="0.3">
      <c r="A216" t="s">
        <v>229</v>
      </c>
      <c r="B216">
        <v>227</v>
      </c>
      <c r="C216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  <c r="I216" t="str">
        <f>_xlfn.IFNA(VLOOKUP(C216,merchants!$A$2:$D$41,2,FALSE),"Merchant not found")</f>
        <v>Merchant_028</v>
      </c>
      <c r="J216" t="str">
        <f>_xlfn.IFNA(VLOOKUP(C216,merchants!$A$2:$D$41,3,FALSE),"Merchant not found")</f>
        <v>ecommerce</v>
      </c>
      <c r="K216" t="str">
        <f>_xlfn.IFNA(VLOOKUP(C216,merchants!$A$2:$D$41,4,FALSE),"Merchant not found")</f>
        <v>South</v>
      </c>
      <c r="L216" s="2">
        <f>HLOOKUP(F216,Fees!$B$1:$E$2,2,FALSE)</f>
        <v>0</v>
      </c>
    </row>
    <row r="217" spans="1:12" x14ac:dyDescent="0.3">
      <c r="A217" t="s">
        <v>230</v>
      </c>
      <c r="B217">
        <v>140</v>
      </c>
      <c r="C217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  <c r="I217" t="str">
        <f>_xlfn.IFNA(VLOOKUP(C217,merchants!$A$2:$D$41,2,FALSE),"Merchant not found")</f>
        <v>Merchant_014</v>
      </c>
      <c r="J217" t="str">
        <f>_xlfn.IFNA(VLOOKUP(C217,merchants!$A$2:$D$41,3,FALSE),"Merchant not found")</f>
        <v>grocery</v>
      </c>
      <c r="K217" t="str">
        <f>_xlfn.IFNA(VLOOKUP(C217,merchants!$A$2:$D$41,4,FALSE),"Merchant not found")</f>
        <v>East</v>
      </c>
      <c r="L217" s="2">
        <f>HLOOKUP(F217,Fees!$B$1:$E$2,2,FALSE)</f>
        <v>1.4999999999999999E-2</v>
      </c>
    </row>
    <row r="218" spans="1:12" x14ac:dyDescent="0.3">
      <c r="A218" t="s">
        <v>231</v>
      </c>
      <c r="B218">
        <v>221</v>
      </c>
      <c r="C218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  <c r="I218" t="str">
        <f>_xlfn.IFNA(VLOOKUP(C218,merchants!$A$2:$D$41,2,FALSE),"Merchant not found")</f>
        <v>Merchant_008</v>
      </c>
      <c r="J218" t="str">
        <f>_xlfn.IFNA(VLOOKUP(C218,merchants!$A$2:$D$41,3,FALSE),"Merchant not found")</f>
        <v>food_delivery</v>
      </c>
      <c r="K218" t="str">
        <f>_xlfn.IFNA(VLOOKUP(C218,merchants!$A$2:$D$41,4,FALSE),"Merchant not found")</f>
        <v>North</v>
      </c>
      <c r="L218" s="2">
        <f>HLOOKUP(F218,Fees!$B$1:$E$2,2,FALSE)</f>
        <v>0</v>
      </c>
    </row>
    <row r="219" spans="1:12" x14ac:dyDescent="0.3">
      <c r="A219" t="s">
        <v>232</v>
      </c>
      <c r="B219">
        <v>250</v>
      </c>
      <c r="C219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  <c r="I219" t="str">
        <f>_xlfn.IFNA(VLOOKUP(C219,merchants!$A$2:$D$41,2,FALSE),"Merchant not found")</f>
        <v>Merchant_034</v>
      </c>
      <c r="J219" t="str">
        <f>_xlfn.IFNA(VLOOKUP(C219,merchants!$A$2:$D$41,3,FALSE),"Merchant not found")</f>
        <v>travel</v>
      </c>
      <c r="K219" t="str">
        <f>_xlfn.IFNA(VLOOKUP(C219,merchants!$A$2:$D$41,4,FALSE),"Merchant not found")</f>
        <v>South</v>
      </c>
      <c r="L219" s="2">
        <f>HLOOKUP(F219,Fees!$B$1:$E$2,2,FALSE)</f>
        <v>1.4999999999999999E-2</v>
      </c>
    </row>
    <row r="220" spans="1:12" x14ac:dyDescent="0.3">
      <c r="A220" t="s">
        <v>233</v>
      </c>
      <c r="B220">
        <v>203</v>
      </c>
      <c r="C220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  <c r="I220" t="str">
        <f>_xlfn.IFNA(VLOOKUP(C220,merchants!$A$2:$D$41,2,FALSE),"Merchant not found")</f>
        <v>Merchant_039</v>
      </c>
      <c r="J220" t="str">
        <f>_xlfn.IFNA(VLOOKUP(C220,merchants!$A$2:$D$41,3,FALSE),"Merchant not found")</f>
        <v>entertainment</v>
      </c>
      <c r="K220" t="str">
        <f>_xlfn.IFNA(VLOOKUP(C220,merchants!$A$2:$D$41,4,FALSE),"Merchant not found")</f>
        <v>North</v>
      </c>
      <c r="L220" s="2">
        <f>HLOOKUP(F220,Fees!$B$1:$E$2,2,FALSE)</f>
        <v>0</v>
      </c>
    </row>
    <row r="221" spans="1:12" x14ac:dyDescent="0.3">
      <c r="A221" t="s">
        <v>234</v>
      </c>
      <c r="B221">
        <v>109</v>
      </c>
      <c r="C221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  <c r="I221" t="str">
        <f>_xlfn.IFNA(VLOOKUP(C221,merchants!$A$2:$D$41,2,FALSE),"Merchant not found")</f>
        <v>Merchant_009</v>
      </c>
      <c r="J221" t="str">
        <f>_xlfn.IFNA(VLOOKUP(C221,merchants!$A$2:$D$41,3,FALSE),"Merchant not found")</f>
        <v>ecommerce</v>
      </c>
      <c r="K221" t="str">
        <f>_xlfn.IFNA(VLOOKUP(C221,merchants!$A$2:$D$41,4,FALSE),"Merchant not found")</f>
        <v>North</v>
      </c>
      <c r="L221" s="2">
        <f>HLOOKUP(F221,Fees!$B$1:$E$2,2,FALSE)</f>
        <v>1.4999999999999999E-2</v>
      </c>
    </row>
    <row r="222" spans="1:12" x14ac:dyDescent="0.3">
      <c r="A222" t="s">
        <v>235</v>
      </c>
      <c r="B222">
        <v>62</v>
      </c>
      <c r="C22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  <c r="I222" t="str">
        <f>_xlfn.IFNA(VLOOKUP(C222,merchants!$A$2:$D$41,2,FALSE),"Merchant not found")</f>
        <v>Merchant_001</v>
      </c>
      <c r="J222" t="str">
        <f>_xlfn.IFNA(VLOOKUP(C222,merchants!$A$2:$D$41,3,FALSE),"Merchant not found")</f>
        <v>ecommerce</v>
      </c>
      <c r="K222" t="str">
        <f>_xlfn.IFNA(VLOOKUP(C222,merchants!$A$2:$D$41,4,FALSE),"Merchant not found")</f>
        <v>South</v>
      </c>
      <c r="L222" s="2">
        <f>HLOOKUP(F222,Fees!$B$1:$E$2,2,FALSE)</f>
        <v>1.4999999999999999E-2</v>
      </c>
    </row>
    <row r="223" spans="1:12" x14ac:dyDescent="0.3">
      <c r="A223" t="s">
        <v>236</v>
      </c>
      <c r="B223">
        <v>67</v>
      </c>
      <c r="C223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  <c r="I223" t="str">
        <f>_xlfn.IFNA(VLOOKUP(C223,merchants!$A$2:$D$41,2,FALSE),"Merchant not found")</f>
        <v>Merchant_025</v>
      </c>
      <c r="J223" t="str">
        <f>_xlfn.IFNA(VLOOKUP(C223,merchants!$A$2:$D$41,3,FALSE),"Merchant not found")</f>
        <v>travel</v>
      </c>
      <c r="K223" t="str">
        <f>_xlfn.IFNA(VLOOKUP(C223,merchants!$A$2:$D$41,4,FALSE),"Merchant not found")</f>
        <v>South</v>
      </c>
      <c r="L223" s="2">
        <f>HLOOKUP(F223,Fees!$B$1:$E$2,2,FALSE)</f>
        <v>0</v>
      </c>
    </row>
    <row r="224" spans="1:12" x14ac:dyDescent="0.3">
      <c r="A224" t="s">
        <v>237</v>
      </c>
      <c r="B224">
        <v>287</v>
      </c>
      <c r="C224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  <c r="I224" t="str">
        <f>_xlfn.IFNA(VLOOKUP(C224,merchants!$A$2:$D$41,2,FALSE),"Merchant not found")</f>
        <v>Merchant_023</v>
      </c>
      <c r="J224" t="str">
        <f>_xlfn.IFNA(VLOOKUP(C224,merchants!$A$2:$D$41,3,FALSE),"Merchant not found")</f>
        <v>travel</v>
      </c>
      <c r="K224" t="str">
        <f>_xlfn.IFNA(VLOOKUP(C224,merchants!$A$2:$D$41,4,FALSE),"Merchant not found")</f>
        <v>North</v>
      </c>
      <c r="L224" s="2">
        <f>HLOOKUP(F224,Fees!$B$1:$E$2,2,FALSE)</f>
        <v>0</v>
      </c>
    </row>
    <row r="225" spans="1:12" x14ac:dyDescent="0.3">
      <c r="A225" t="s">
        <v>238</v>
      </c>
      <c r="B225">
        <v>224</v>
      </c>
      <c r="C225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  <c r="I225" t="str">
        <f>_xlfn.IFNA(VLOOKUP(C225,merchants!$A$2:$D$41,2,FALSE),"Merchant not found")</f>
        <v>Merchant_002</v>
      </c>
      <c r="J225" t="str">
        <f>_xlfn.IFNA(VLOOKUP(C225,merchants!$A$2:$D$41,3,FALSE),"Merchant not found")</f>
        <v>grocery</v>
      </c>
      <c r="K225" t="str">
        <f>_xlfn.IFNA(VLOOKUP(C225,merchants!$A$2:$D$41,4,FALSE),"Merchant not found")</f>
        <v>West</v>
      </c>
      <c r="L225" s="2">
        <f>HLOOKUP(F225,Fees!$B$1:$E$2,2,FALSE)</f>
        <v>0.02</v>
      </c>
    </row>
    <row r="226" spans="1:12" x14ac:dyDescent="0.3">
      <c r="A226" t="s">
        <v>239</v>
      </c>
      <c r="B226">
        <v>161</v>
      </c>
      <c r="C226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  <c r="I226" t="str">
        <f>_xlfn.IFNA(VLOOKUP(C226,merchants!$A$2:$D$41,2,FALSE),"Merchant not found")</f>
        <v>Merchant_037</v>
      </c>
      <c r="J226" t="str">
        <f>_xlfn.IFNA(VLOOKUP(C226,merchants!$A$2:$D$41,3,FALSE),"Merchant not found")</f>
        <v>entertainment</v>
      </c>
      <c r="K226" t="str">
        <f>_xlfn.IFNA(VLOOKUP(C226,merchants!$A$2:$D$41,4,FALSE),"Merchant not found")</f>
        <v>South</v>
      </c>
      <c r="L226" s="2">
        <f>HLOOKUP(F226,Fees!$B$1:$E$2,2,FALSE)</f>
        <v>0</v>
      </c>
    </row>
    <row r="227" spans="1:12" x14ac:dyDescent="0.3">
      <c r="A227" t="s">
        <v>240</v>
      </c>
      <c r="B227">
        <v>328</v>
      </c>
      <c r="C227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  <c r="I227" t="str">
        <f>_xlfn.IFNA(VLOOKUP(C227,merchants!$A$2:$D$41,2,FALSE),"Merchant not found")</f>
        <v>Merchant_027</v>
      </c>
      <c r="J227" t="str">
        <f>_xlfn.IFNA(VLOOKUP(C227,merchants!$A$2:$D$41,3,FALSE),"Merchant not found")</f>
        <v>ecommerce</v>
      </c>
      <c r="K227" t="str">
        <f>_xlfn.IFNA(VLOOKUP(C227,merchants!$A$2:$D$41,4,FALSE),"Merchant not found")</f>
        <v>North</v>
      </c>
      <c r="L227" s="2">
        <f>HLOOKUP(F227,Fees!$B$1:$E$2,2,FALSE)</f>
        <v>0</v>
      </c>
    </row>
    <row r="228" spans="1:12" x14ac:dyDescent="0.3">
      <c r="A228" t="s">
        <v>241</v>
      </c>
      <c r="B228">
        <v>167</v>
      </c>
      <c r="C228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  <c r="I228" t="str">
        <f>_xlfn.IFNA(VLOOKUP(C228,merchants!$A$2:$D$41,2,FALSE),"Merchant not found")</f>
        <v>Merchant_011</v>
      </c>
      <c r="J228" t="str">
        <f>_xlfn.IFNA(VLOOKUP(C228,merchants!$A$2:$D$41,3,FALSE),"Merchant not found")</f>
        <v>ecommerce</v>
      </c>
      <c r="K228" t="str">
        <f>_xlfn.IFNA(VLOOKUP(C228,merchants!$A$2:$D$41,4,FALSE),"Merchant not found")</f>
        <v>North</v>
      </c>
      <c r="L228" s="2">
        <f>HLOOKUP(F228,Fees!$B$1:$E$2,2,FALSE)</f>
        <v>0.02</v>
      </c>
    </row>
    <row r="229" spans="1:12" x14ac:dyDescent="0.3">
      <c r="A229" t="s">
        <v>242</v>
      </c>
      <c r="B229">
        <v>186</v>
      </c>
      <c r="C229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  <c r="I229" t="str">
        <f>_xlfn.IFNA(VLOOKUP(C229,merchants!$A$2:$D$41,2,FALSE),"Merchant not found")</f>
        <v>Merchant_006</v>
      </c>
      <c r="J229" t="str">
        <f>_xlfn.IFNA(VLOOKUP(C229,merchants!$A$2:$D$41,3,FALSE),"Merchant not found")</f>
        <v>food_delivery</v>
      </c>
      <c r="K229" t="str">
        <f>_xlfn.IFNA(VLOOKUP(C229,merchants!$A$2:$D$41,4,FALSE),"Merchant not found")</f>
        <v>South</v>
      </c>
      <c r="L229" s="2">
        <f>HLOOKUP(F229,Fees!$B$1:$E$2,2,FALSE)</f>
        <v>1.4999999999999999E-2</v>
      </c>
    </row>
    <row r="230" spans="1:12" x14ac:dyDescent="0.3">
      <c r="A230" t="s">
        <v>243</v>
      </c>
      <c r="B230">
        <v>224</v>
      </c>
      <c r="C230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  <c r="I230" t="str">
        <f>_xlfn.IFNA(VLOOKUP(C230,merchants!$A$2:$D$41,2,FALSE),"Merchant not found")</f>
        <v>Merchant_038</v>
      </c>
      <c r="J230" t="str">
        <f>_xlfn.IFNA(VLOOKUP(C230,merchants!$A$2:$D$41,3,FALSE),"Merchant not found")</f>
        <v>grocery</v>
      </c>
      <c r="K230" t="str">
        <f>_xlfn.IFNA(VLOOKUP(C230,merchants!$A$2:$D$41,4,FALSE),"Merchant not found")</f>
        <v>East</v>
      </c>
      <c r="L230" s="2">
        <f>HLOOKUP(F230,Fees!$B$1:$E$2,2,FALSE)</f>
        <v>1.4999999999999999E-2</v>
      </c>
    </row>
    <row r="231" spans="1:12" x14ac:dyDescent="0.3">
      <c r="A231" t="s">
        <v>244</v>
      </c>
      <c r="B231">
        <v>159</v>
      </c>
      <c r="C231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  <c r="I231" t="str">
        <f>_xlfn.IFNA(VLOOKUP(C231,merchants!$A$2:$D$41,2,FALSE),"Merchant not found")</f>
        <v>Merchant_022</v>
      </c>
      <c r="J231" t="str">
        <f>_xlfn.IFNA(VLOOKUP(C231,merchants!$A$2:$D$41,3,FALSE),"Merchant not found")</f>
        <v>travel</v>
      </c>
      <c r="K231" t="str">
        <f>_xlfn.IFNA(VLOOKUP(C231,merchants!$A$2:$D$41,4,FALSE),"Merchant not found")</f>
        <v>South</v>
      </c>
      <c r="L231" s="2">
        <f>HLOOKUP(F231,Fees!$B$1:$E$2,2,FALSE)</f>
        <v>0</v>
      </c>
    </row>
    <row r="232" spans="1:12" x14ac:dyDescent="0.3">
      <c r="A232" t="s">
        <v>245</v>
      </c>
      <c r="B232">
        <v>262</v>
      </c>
      <c r="C23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  <c r="I232" t="str">
        <f>_xlfn.IFNA(VLOOKUP(C232,merchants!$A$2:$D$41,2,FALSE),"Merchant not found")</f>
        <v>Merchant_008</v>
      </c>
      <c r="J232" t="str">
        <f>_xlfn.IFNA(VLOOKUP(C232,merchants!$A$2:$D$41,3,FALSE),"Merchant not found")</f>
        <v>food_delivery</v>
      </c>
      <c r="K232" t="str">
        <f>_xlfn.IFNA(VLOOKUP(C232,merchants!$A$2:$D$41,4,FALSE),"Merchant not found")</f>
        <v>North</v>
      </c>
      <c r="L232" s="2">
        <f>HLOOKUP(F232,Fees!$B$1:$E$2,2,FALSE)</f>
        <v>0</v>
      </c>
    </row>
    <row r="233" spans="1:12" x14ac:dyDescent="0.3">
      <c r="A233" t="s">
        <v>246</v>
      </c>
      <c r="B233">
        <v>179</v>
      </c>
      <c r="C233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  <c r="I233" t="str">
        <f>_xlfn.IFNA(VLOOKUP(C233,merchants!$A$2:$D$41,2,FALSE),"Merchant not found")</f>
        <v>Merchant_023</v>
      </c>
      <c r="J233" t="str">
        <f>_xlfn.IFNA(VLOOKUP(C233,merchants!$A$2:$D$41,3,FALSE),"Merchant not found")</f>
        <v>travel</v>
      </c>
      <c r="K233" t="str">
        <f>_xlfn.IFNA(VLOOKUP(C233,merchants!$A$2:$D$41,4,FALSE),"Merchant not found")</f>
        <v>North</v>
      </c>
      <c r="L233" s="2">
        <f>HLOOKUP(F233,Fees!$B$1:$E$2,2,FALSE)</f>
        <v>1.4999999999999999E-2</v>
      </c>
    </row>
    <row r="234" spans="1:12" x14ac:dyDescent="0.3">
      <c r="A234" t="s">
        <v>247</v>
      </c>
      <c r="B234">
        <v>76</v>
      </c>
      <c r="C234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  <c r="I234" t="str">
        <f>_xlfn.IFNA(VLOOKUP(C234,merchants!$A$2:$D$41,2,FALSE),"Merchant not found")</f>
        <v>Merchant_016</v>
      </c>
      <c r="J234" t="str">
        <f>_xlfn.IFNA(VLOOKUP(C234,merchants!$A$2:$D$41,3,FALSE),"Merchant not found")</f>
        <v>bill_payment</v>
      </c>
      <c r="K234" t="str">
        <f>_xlfn.IFNA(VLOOKUP(C234,merchants!$A$2:$D$41,4,FALSE),"Merchant not found")</f>
        <v>West</v>
      </c>
      <c r="L234" s="2">
        <f>HLOOKUP(F234,Fees!$B$1:$E$2,2,FALSE)</f>
        <v>0</v>
      </c>
    </row>
    <row r="235" spans="1:12" x14ac:dyDescent="0.3">
      <c r="A235" t="s">
        <v>248</v>
      </c>
      <c r="B235">
        <v>89</v>
      </c>
      <c r="C235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  <c r="I235" t="str">
        <f>_xlfn.IFNA(VLOOKUP(C235,merchants!$A$2:$D$41,2,FALSE),"Merchant not found")</f>
        <v>Merchant_039</v>
      </c>
      <c r="J235" t="str">
        <f>_xlfn.IFNA(VLOOKUP(C235,merchants!$A$2:$D$41,3,FALSE),"Merchant not found")</f>
        <v>entertainment</v>
      </c>
      <c r="K235" t="str">
        <f>_xlfn.IFNA(VLOOKUP(C235,merchants!$A$2:$D$41,4,FALSE),"Merchant not found")</f>
        <v>North</v>
      </c>
      <c r="L235" s="2">
        <f>HLOOKUP(F235,Fees!$B$1:$E$2,2,FALSE)</f>
        <v>0</v>
      </c>
    </row>
    <row r="236" spans="1:12" x14ac:dyDescent="0.3">
      <c r="A236" t="s">
        <v>249</v>
      </c>
      <c r="B236">
        <v>91</v>
      </c>
      <c r="C236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  <c r="I236" t="str">
        <f>_xlfn.IFNA(VLOOKUP(C236,merchants!$A$2:$D$41,2,FALSE),"Merchant not found")</f>
        <v>Merchant_032</v>
      </c>
      <c r="J236" t="str">
        <f>_xlfn.IFNA(VLOOKUP(C236,merchants!$A$2:$D$41,3,FALSE),"Merchant not found")</f>
        <v>food_delivery</v>
      </c>
      <c r="K236" t="str">
        <f>_xlfn.IFNA(VLOOKUP(C236,merchants!$A$2:$D$41,4,FALSE),"Merchant not found")</f>
        <v>West</v>
      </c>
      <c r="L236" s="2">
        <f>HLOOKUP(F236,Fees!$B$1:$E$2,2,FALSE)</f>
        <v>0</v>
      </c>
    </row>
    <row r="237" spans="1:12" x14ac:dyDescent="0.3">
      <c r="A237" t="s">
        <v>250</v>
      </c>
      <c r="B237">
        <v>297</v>
      </c>
      <c r="C237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  <c r="I237" t="str">
        <f>_xlfn.IFNA(VLOOKUP(C237,merchants!$A$2:$D$41,2,FALSE),"Merchant not found")</f>
        <v>Merchant_029</v>
      </c>
      <c r="J237" t="str">
        <f>_xlfn.IFNA(VLOOKUP(C237,merchants!$A$2:$D$41,3,FALSE),"Merchant not found")</f>
        <v>ecommerce</v>
      </c>
      <c r="K237" t="str">
        <f>_xlfn.IFNA(VLOOKUP(C237,merchants!$A$2:$D$41,4,FALSE),"Merchant not found")</f>
        <v>North</v>
      </c>
      <c r="L237" s="2">
        <f>HLOOKUP(F237,Fees!$B$1:$E$2,2,FALSE)</f>
        <v>0.02</v>
      </c>
    </row>
    <row r="238" spans="1:12" x14ac:dyDescent="0.3">
      <c r="A238" t="s">
        <v>251</v>
      </c>
      <c r="B238">
        <v>326</v>
      </c>
      <c r="C238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  <c r="I238" t="str">
        <f>_xlfn.IFNA(VLOOKUP(C238,merchants!$A$2:$D$41,2,FALSE),"Merchant not found")</f>
        <v>Merchant_040</v>
      </c>
      <c r="J238" t="str">
        <f>_xlfn.IFNA(VLOOKUP(C238,merchants!$A$2:$D$41,3,FALSE),"Merchant not found")</f>
        <v>entertainment</v>
      </c>
      <c r="K238" t="str">
        <f>_xlfn.IFNA(VLOOKUP(C238,merchants!$A$2:$D$41,4,FALSE),"Merchant not found")</f>
        <v>South</v>
      </c>
      <c r="L238" s="2">
        <f>HLOOKUP(F238,Fees!$B$1:$E$2,2,FALSE)</f>
        <v>0.02</v>
      </c>
    </row>
    <row r="239" spans="1:12" x14ac:dyDescent="0.3">
      <c r="A239" t="s">
        <v>252</v>
      </c>
      <c r="B239">
        <v>78</v>
      </c>
      <c r="C239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  <c r="I239" t="str">
        <f>_xlfn.IFNA(VLOOKUP(C239,merchants!$A$2:$D$41,2,FALSE),"Merchant not found")</f>
        <v>Merchant_029</v>
      </c>
      <c r="J239" t="str">
        <f>_xlfn.IFNA(VLOOKUP(C239,merchants!$A$2:$D$41,3,FALSE),"Merchant not found")</f>
        <v>ecommerce</v>
      </c>
      <c r="K239" t="str">
        <f>_xlfn.IFNA(VLOOKUP(C239,merchants!$A$2:$D$41,4,FALSE),"Merchant not found")</f>
        <v>North</v>
      </c>
      <c r="L239" s="2">
        <f>HLOOKUP(F239,Fees!$B$1:$E$2,2,FALSE)</f>
        <v>0</v>
      </c>
    </row>
    <row r="240" spans="1:12" x14ac:dyDescent="0.3">
      <c r="A240" t="s">
        <v>253</v>
      </c>
      <c r="B240">
        <v>156</v>
      </c>
      <c r="C240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  <c r="I240" t="str">
        <f>_xlfn.IFNA(VLOOKUP(C240,merchants!$A$2:$D$41,2,FALSE),"Merchant not found")</f>
        <v>Merchant_018</v>
      </c>
      <c r="J240" t="str">
        <f>_xlfn.IFNA(VLOOKUP(C240,merchants!$A$2:$D$41,3,FALSE),"Merchant not found")</f>
        <v>grocery</v>
      </c>
      <c r="K240" t="str">
        <f>_xlfn.IFNA(VLOOKUP(C240,merchants!$A$2:$D$41,4,FALSE),"Merchant not found")</f>
        <v>West</v>
      </c>
      <c r="L240" s="2">
        <f>HLOOKUP(F240,Fees!$B$1:$E$2,2,FALSE)</f>
        <v>0.02</v>
      </c>
    </row>
    <row r="241" spans="1:12" x14ac:dyDescent="0.3">
      <c r="A241" t="s">
        <v>254</v>
      </c>
      <c r="B241">
        <v>38</v>
      </c>
      <c r="C241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  <c r="I241" t="str">
        <f>_xlfn.IFNA(VLOOKUP(C241,merchants!$A$2:$D$41,2,FALSE),"Merchant not found")</f>
        <v>Merchant_020</v>
      </c>
      <c r="J241" t="str">
        <f>_xlfn.IFNA(VLOOKUP(C241,merchants!$A$2:$D$41,3,FALSE),"Merchant not found")</f>
        <v>food_delivery</v>
      </c>
      <c r="K241" t="str">
        <f>_xlfn.IFNA(VLOOKUP(C241,merchants!$A$2:$D$41,4,FALSE),"Merchant not found")</f>
        <v>East</v>
      </c>
      <c r="L241" s="2">
        <f>HLOOKUP(F241,Fees!$B$1:$E$2,2,FALSE)</f>
        <v>1.4999999999999999E-2</v>
      </c>
    </row>
    <row r="242" spans="1:12" x14ac:dyDescent="0.3">
      <c r="A242" t="s">
        <v>255</v>
      </c>
      <c r="B242">
        <v>189</v>
      </c>
      <c r="C24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  <c r="I242" t="str">
        <f>_xlfn.IFNA(VLOOKUP(C242,merchants!$A$2:$D$41,2,FALSE),"Merchant not found")</f>
        <v>Merchant_019</v>
      </c>
      <c r="J242" t="str">
        <f>_xlfn.IFNA(VLOOKUP(C242,merchants!$A$2:$D$41,3,FALSE),"Merchant not found")</f>
        <v>grocery</v>
      </c>
      <c r="K242" t="str">
        <f>_xlfn.IFNA(VLOOKUP(C242,merchants!$A$2:$D$41,4,FALSE),"Merchant not found")</f>
        <v>North</v>
      </c>
      <c r="L242" s="2">
        <f>HLOOKUP(F242,Fees!$B$1:$E$2,2,FALSE)</f>
        <v>0</v>
      </c>
    </row>
    <row r="243" spans="1:12" x14ac:dyDescent="0.3">
      <c r="A243" t="s">
        <v>256</v>
      </c>
      <c r="B243">
        <v>305</v>
      </c>
      <c r="C243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  <c r="I243" t="str">
        <f>_xlfn.IFNA(VLOOKUP(C243,merchants!$A$2:$D$41,2,FALSE),"Merchant not found")</f>
        <v>Merchant_033</v>
      </c>
      <c r="J243" t="str">
        <f>_xlfn.IFNA(VLOOKUP(C243,merchants!$A$2:$D$41,3,FALSE),"Merchant not found")</f>
        <v>bill_payment</v>
      </c>
      <c r="K243" t="str">
        <f>_xlfn.IFNA(VLOOKUP(C243,merchants!$A$2:$D$41,4,FALSE),"Merchant not found")</f>
        <v>East</v>
      </c>
      <c r="L243" s="2">
        <f>HLOOKUP(F243,Fees!$B$1:$E$2,2,FALSE)</f>
        <v>0.02</v>
      </c>
    </row>
    <row r="244" spans="1:12" x14ac:dyDescent="0.3">
      <c r="A244" t="s">
        <v>257</v>
      </c>
      <c r="B244">
        <v>22</v>
      </c>
      <c r="C244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  <c r="I244" t="str">
        <f>_xlfn.IFNA(VLOOKUP(C244,merchants!$A$2:$D$41,2,FALSE),"Merchant not found")</f>
        <v>Merchant_029</v>
      </c>
      <c r="J244" t="str">
        <f>_xlfn.IFNA(VLOOKUP(C244,merchants!$A$2:$D$41,3,FALSE),"Merchant not found")</f>
        <v>ecommerce</v>
      </c>
      <c r="K244" t="str">
        <f>_xlfn.IFNA(VLOOKUP(C244,merchants!$A$2:$D$41,4,FALSE),"Merchant not found")</f>
        <v>North</v>
      </c>
      <c r="L244" s="2">
        <f>HLOOKUP(F244,Fees!$B$1:$E$2,2,FALSE)</f>
        <v>0</v>
      </c>
    </row>
    <row r="245" spans="1:12" x14ac:dyDescent="0.3">
      <c r="A245" t="s">
        <v>258</v>
      </c>
      <c r="B245">
        <v>310</v>
      </c>
      <c r="C245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  <c r="I245" t="str">
        <f>_xlfn.IFNA(VLOOKUP(C245,merchants!$A$2:$D$41,2,FALSE),"Merchant not found")</f>
        <v>Merchant_031</v>
      </c>
      <c r="J245" t="str">
        <f>_xlfn.IFNA(VLOOKUP(C245,merchants!$A$2:$D$41,3,FALSE),"Merchant not found")</f>
        <v>bill_payment</v>
      </c>
      <c r="K245" t="str">
        <f>_xlfn.IFNA(VLOOKUP(C245,merchants!$A$2:$D$41,4,FALSE),"Merchant not found")</f>
        <v>East</v>
      </c>
      <c r="L245" s="2">
        <f>HLOOKUP(F245,Fees!$B$1:$E$2,2,FALSE)</f>
        <v>0.02</v>
      </c>
    </row>
    <row r="246" spans="1:12" x14ac:dyDescent="0.3">
      <c r="A246" t="s">
        <v>259</v>
      </c>
      <c r="B246">
        <v>53</v>
      </c>
      <c r="C246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  <c r="I246" t="str">
        <f>_xlfn.IFNA(VLOOKUP(C246,merchants!$A$2:$D$41,2,FALSE),"Merchant not found")</f>
        <v>Merchant_022</v>
      </c>
      <c r="J246" t="str">
        <f>_xlfn.IFNA(VLOOKUP(C246,merchants!$A$2:$D$41,3,FALSE),"Merchant not found")</f>
        <v>travel</v>
      </c>
      <c r="K246" t="str">
        <f>_xlfn.IFNA(VLOOKUP(C246,merchants!$A$2:$D$41,4,FALSE),"Merchant not found")</f>
        <v>South</v>
      </c>
      <c r="L246" s="2">
        <f>HLOOKUP(F246,Fees!$B$1:$E$2,2,FALSE)</f>
        <v>0</v>
      </c>
    </row>
    <row r="247" spans="1:12" x14ac:dyDescent="0.3">
      <c r="A247" t="s">
        <v>260</v>
      </c>
      <c r="B247">
        <v>89</v>
      </c>
      <c r="C247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  <c r="I247" t="str">
        <f>_xlfn.IFNA(VLOOKUP(C247,merchants!$A$2:$D$41,2,FALSE),"Merchant not found")</f>
        <v>Merchant_003</v>
      </c>
      <c r="J247" t="str">
        <f>_xlfn.IFNA(VLOOKUP(C247,merchants!$A$2:$D$41,3,FALSE),"Merchant not found")</f>
        <v>grocery</v>
      </c>
      <c r="K247" t="str">
        <f>_xlfn.IFNA(VLOOKUP(C247,merchants!$A$2:$D$41,4,FALSE),"Merchant not found")</f>
        <v>East</v>
      </c>
      <c r="L247" s="2">
        <f>HLOOKUP(F247,Fees!$B$1:$E$2,2,FALSE)</f>
        <v>0.02</v>
      </c>
    </row>
    <row r="248" spans="1:12" x14ac:dyDescent="0.3">
      <c r="A248" t="s">
        <v>261</v>
      </c>
      <c r="B248">
        <v>269</v>
      </c>
      <c r="C248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  <c r="I248" t="str">
        <f>_xlfn.IFNA(VLOOKUP(C248,merchants!$A$2:$D$41,2,FALSE),"Merchant not found")</f>
        <v>Merchant_034</v>
      </c>
      <c r="J248" t="str">
        <f>_xlfn.IFNA(VLOOKUP(C248,merchants!$A$2:$D$41,3,FALSE),"Merchant not found")</f>
        <v>travel</v>
      </c>
      <c r="K248" t="str">
        <f>_xlfn.IFNA(VLOOKUP(C248,merchants!$A$2:$D$41,4,FALSE),"Merchant not found")</f>
        <v>South</v>
      </c>
      <c r="L248" s="2">
        <f>HLOOKUP(F248,Fees!$B$1:$E$2,2,FALSE)</f>
        <v>0</v>
      </c>
    </row>
    <row r="249" spans="1:12" x14ac:dyDescent="0.3">
      <c r="A249" t="s">
        <v>262</v>
      </c>
      <c r="B249">
        <v>145</v>
      </c>
      <c r="C249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  <c r="I249" t="str">
        <f>_xlfn.IFNA(VLOOKUP(C249,merchants!$A$2:$D$41,2,FALSE),"Merchant not found")</f>
        <v>Merchant_025</v>
      </c>
      <c r="J249" t="str">
        <f>_xlfn.IFNA(VLOOKUP(C249,merchants!$A$2:$D$41,3,FALSE),"Merchant not found")</f>
        <v>travel</v>
      </c>
      <c r="K249" t="str">
        <f>_xlfn.IFNA(VLOOKUP(C249,merchants!$A$2:$D$41,4,FALSE),"Merchant not found")</f>
        <v>South</v>
      </c>
      <c r="L249" s="2">
        <f>HLOOKUP(F249,Fees!$B$1:$E$2,2,FALSE)</f>
        <v>0</v>
      </c>
    </row>
    <row r="250" spans="1:12" x14ac:dyDescent="0.3">
      <c r="A250" t="s">
        <v>263</v>
      </c>
      <c r="B250">
        <v>307</v>
      </c>
      <c r="C250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  <c r="I250" t="str">
        <f>_xlfn.IFNA(VLOOKUP(C250,merchants!$A$2:$D$41,2,FALSE),"Merchant not found")</f>
        <v>Merchant_004</v>
      </c>
      <c r="J250" t="str">
        <f>_xlfn.IFNA(VLOOKUP(C250,merchants!$A$2:$D$41,3,FALSE),"Merchant not found")</f>
        <v>ecommerce</v>
      </c>
      <c r="K250" t="str">
        <f>_xlfn.IFNA(VLOOKUP(C250,merchants!$A$2:$D$41,4,FALSE),"Merchant not found")</f>
        <v>East</v>
      </c>
      <c r="L250" s="2">
        <f>HLOOKUP(F250,Fees!$B$1:$E$2,2,FALSE)</f>
        <v>0</v>
      </c>
    </row>
    <row r="251" spans="1:12" x14ac:dyDescent="0.3">
      <c r="A251" t="s">
        <v>264</v>
      </c>
      <c r="B251">
        <v>169</v>
      </c>
      <c r="C251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  <c r="I251" t="str">
        <f>_xlfn.IFNA(VLOOKUP(C251,merchants!$A$2:$D$41,2,FALSE),"Merchant not found")</f>
        <v>Merchant_007</v>
      </c>
      <c r="J251" t="str">
        <f>_xlfn.IFNA(VLOOKUP(C251,merchants!$A$2:$D$41,3,FALSE),"Merchant not found")</f>
        <v>food_delivery</v>
      </c>
      <c r="K251" t="str">
        <f>_xlfn.IFNA(VLOOKUP(C251,merchants!$A$2:$D$41,4,FALSE),"Merchant not found")</f>
        <v>East</v>
      </c>
      <c r="L251" s="2">
        <f>HLOOKUP(F251,Fees!$B$1:$E$2,2,FALSE)</f>
        <v>1.4999999999999999E-2</v>
      </c>
    </row>
    <row r="252" spans="1:12" x14ac:dyDescent="0.3">
      <c r="A252" t="s">
        <v>265</v>
      </c>
      <c r="B252">
        <v>130</v>
      </c>
      <c r="C25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  <c r="I252" t="str">
        <f>_xlfn.IFNA(VLOOKUP(C252,merchants!$A$2:$D$41,2,FALSE),"Merchant not found")</f>
        <v>Merchant_039</v>
      </c>
      <c r="J252" t="str">
        <f>_xlfn.IFNA(VLOOKUP(C252,merchants!$A$2:$D$41,3,FALSE),"Merchant not found")</f>
        <v>entertainment</v>
      </c>
      <c r="K252" t="str">
        <f>_xlfn.IFNA(VLOOKUP(C252,merchants!$A$2:$D$41,4,FALSE),"Merchant not found")</f>
        <v>North</v>
      </c>
      <c r="L252" s="2">
        <f>HLOOKUP(F252,Fees!$B$1:$E$2,2,FALSE)</f>
        <v>1.4999999999999999E-2</v>
      </c>
    </row>
    <row r="253" spans="1:12" x14ac:dyDescent="0.3">
      <c r="A253" t="s">
        <v>266</v>
      </c>
      <c r="B253">
        <v>340</v>
      </c>
      <c r="C253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  <c r="I253" t="str">
        <f>_xlfn.IFNA(VLOOKUP(C253,merchants!$A$2:$D$41,2,FALSE),"Merchant not found")</f>
        <v>Merchant_010</v>
      </c>
      <c r="J253" t="str">
        <f>_xlfn.IFNA(VLOOKUP(C253,merchants!$A$2:$D$41,3,FALSE),"Merchant not found")</f>
        <v>grocery</v>
      </c>
      <c r="K253" t="str">
        <f>_xlfn.IFNA(VLOOKUP(C253,merchants!$A$2:$D$41,4,FALSE),"Merchant not found")</f>
        <v>West</v>
      </c>
      <c r="L253" s="2">
        <f>HLOOKUP(F253,Fees!$B$1:$E$2,2,FALSE)</f>
        <v>0.02</v>
      </c>
    </row>
    <row r="254" spans="1:12" x14ac:dyDescent="0.3">
      <c r="A254" t="s">
        <v>267</v>
      </c>
      <c r="B254">
        <v>340</v>
      </c>
      <c r="C254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  <c r="I254" t="str">
        <f>_xlfn.IFNA(VLOOKUP(C254,merchants!$A$2:$D$41,2,FALSE),"Merchant not found")</f>
        <v>Merchant_026</v>
      </c>
      <c r="J254" t="str">
        <f>_xlfn.IFNA(VLOOKUP(C254,merchants!$A$2:$D$41,3,FALSE),"Merchant not found")</f>
        <v>food_delivery</v>
      </c>
      <c r="K254" t="str">
        <f>_xlfn.IFNA(VLOOKUP(C254,merchants!$A$2:$D$41,4,FALSE),"Merchant not found")</f>
        <v>East</v>
      </c>
      <c r="L254" s="2">
        <f>HLOOKUP(F254,Fees!$B$1:$E$2,2,FALSE)</f>
        <v>0.02</v>
      </c>
    </row>
    <row r="255" spans="1:12" x14ac:dyDescent="0.3">
      <c r="A255" t="s">
        <v>268</v>
      </c>
      <c r="B255">
        <v>159</v>
      </c>
      <c r="C255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  <c r="I255" t="str">
        <f>_xlfn.IFNA(VLOOKUP(C255,merchants!$A$2:$D$41,2,FALSE),"Merchant not found")</f>
        <v>Merchant_036</v>
      </c>
      <c r="J255" t="str">
        <f>_xlfn.IFNA(VLOOKUP(C255,merchants!$A$2:$D$41,3,FALSE),"Merchant not found")</f>
        <v>entertainment</v>
      </c>
      <c r="K255" t="str">
        <f>_xlfn.IFNA(VLOOKUP(C255,merchants!$A$2:$D$41,4,FALSE),"Merchant not found")</f>
        <v>East</v>
      </c>
      <c r="L255" s="2">
        <f>HLOOKUP(F255,Fees!$B$1:$E$2,2,FALSE)</f>
        <v>0</v>
      </c>
    </row>
    <row r="256" spans="1:12" x14ac:dyDescent="0.3">
      <c r="A256" t="s">
        <v>269</v>
      </c>
      <c r="B256">
        <v>66</v>
      </c>
      <c r="C256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  <c r="I256" t="str">
        <f>_xlfn.IFNA(VLOOKUP(C256,merchants!$A$2:$D$41,2,FALSE),"Merchant not found")</f>
        <v>Merchant_034</v>
      </c>
      <c r="J256" t="str">
        <f>_xlfn.IFNA(VLOOKUP(C256,merchants!$A$2:$D$41,3,FALSE),"Merchant not found")</f>
        <v>travel</v>
      </c>
      <c r="K256" t="str">
        <f>_xlfn.IFNA(VLOOKUP(C256,merchants!$A$2:$D$41,4,FALSE),"Merchant not found")</f>
        <v>South</v>
      </c>
      <c r="L256" s="2">
        <f>HLOOKUP(F256,Fees!$B$1:$E$2,2,FALSE)</f>
        <v>0</v>
      </c>
    </row>
    <row r="257" spans="1:12" x14ac:dyDescent="0.3">
      <c r="A257" t="s">
        <v>270</v>
      </c>
      <c r="B257">
        <v>261</v>
      </c>
      <c r="C257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  <c r="I257" t="str">
        <f>_xlfn.IFNA(VLOOKUP(C257,merchants!$A$2:$D$41,2,FALSE),"Merchant not found")</f>
        <v>Merchant_024</v>
      </c>
      <c r="J257" t="str">
        <f>_xlfn.IFNA(VLOOKUP(C257,merchants!$A$2:$D$41,3,FALSE),"Merchant not found")</f>
        <v>grocery</v>
      </c>
      <c r="K257" t="str">
        <f>_xlfn.IFNA(VLOOKUP(C257,merchants!$A$2:$D$41,4,FALSE),"Merchant not found")</f>
        <v>North</v>
      </c>
      <c r="L257" s="2">
        <f>HLOOKUP(F257,Fees!$B$1:$E$2,2,FALSE)</f>
        <v>0.02</v>
      </c>
    </row>
    <row r="258" spans="1:12" x14ac:dyDescent="0.3">
      <c r="A258" t="s">
        <v>271</v>
      </c>
      <c r="B258">
        <v>110</v>
      </c>
      <c r="C258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  <c r="I258" t="str">
        <f>_xlfn.IFNA(VLOOKUP(C258,merchants!$A$2:$D$41,2,FALSE),"Merchant not found")</f>
        <v>Merchant_022</v>
      </c>
      <c r="J258" t="str">
        <f>_xlfn.IFNA(VLOOKUP(C258,merchants!$A$2:$D$41,3,FALSE),"Merchant not found")</f>
        <v>travel</v>
      </c>
      <c r="K258" t="str">
        <f>_xlfn.IFNA(VLOOKUP(C258,merchants!$A$2:$D$41,4,FALSE),"Merchant not found")</f>
        <v>South</v>
      </c>
      <c r="L258" s="2">
        <f>HLOOKUP(F258,Fees!$B$1:$E$2,2,FALSE)</f>
        <v>0</v>
      </c>
    </row>
    <row r="259" spans="1:12" x14ac:dyDescent="0.3">
      <c r="A259" t="s">
        <v>272</v>
      </c>
      <c r="B259">
        <v>71</v>
      </c>
      <c r="C259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  <c r="I259" t="str">
        <f>_xlfn.IFNA(VLOOKUP(C259,merchants!$A$2:$D$41,2,FALSE),"Merchant not found")</f>
        <v>Merchant_010</v>
      </c>
      <c r="J259" t="str">
        <f>_xlfn.IFNA(VLOOKUP(C259,merchants!$A$2:$D$41,3,FALSE),"Merchant not found")</f>
        <v>grocery</v>
      </c>
      <c r="K259" t="str">
        <f>_xlfn.IFNA(VLOOKUP(C259,merchants!$A$2:$D$41,4,FALSE),"Merchant not found")</f>
        <v>West</v>
      </c>
      <c r="L259" s="2">
        <f>HLOOKUP(F259,Fees!$B$1:$E$2,2,FALSE)</f>
        <v>0</v>
      </c>
    </row>
    <row r="260" spans="1:12" x14ac:dyDescent="0.3">
      <c r="A260" t="s">
        <v>273</v>
      </c>
      <c r="B260">
        <v>277</v>
      </c>
      <c r="C260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  <c r="I260" t="str">
        <f>_xlfn.IFNA(VLOOKUP(C260,merchants!$A$2:$D$41,2,FALSE),"Merchant not found")</f>
        <v>Merchant_034</v>
      </c>
      <c r="J260" t="str">
        <f>_xlfn.IFNA(VLOOKUP(C260,merchants!$A$2:$D$41,3,FALSE),"Merchant not found")</f>
        <v>travel</v>
      </c>
      <c r="K260" t="str">
        <f>_xlfn.IFNA(VLOOKUP(C260,merchants!$A$2:$D$41,4,FALSE),"Merchant not found")</f>
        <v>South</v>
      </c>
      <c r="L260" s="2">
        <f>HLOOKUP(F260,Fees!$B$1:$E$2,2,FALSE)</f>
        <v>0</v>
      </c>
    </row>
    <row r="261" spans="1:12" x14ac:dyDescent="0.3">
      <c r="A261" t="s">
        <v>274</v>
      </c>
      <c r="B261">
        <v>317</v>
      </c>
      <c r="C261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  <c r="I261" t="str">
        <f>_xlfn.IFNA(VLOOKUP(C261,merchants!$A$2:$D$41,2,FALSE),"Merchant not found")</f>
        <v>Merchant_009</v>
      </c>
      <c r="J261" t="str">
        <f>_xlfn.IFNA(VLOOKUP(C261,merchants!$A$2:$D$41,3,FALSE),"Merchant not found")</f>
        <v>ecommerce</v>
      </c>
      <c r="K261" t="str">
        <f>_xlfn.IFNA(VLOOKUP(C261,merchants!$A$2:$D$41,4,FALSE),"Merchant not found")</f>
        <v>North</v>
      </c>
      <c r="L261" s="2">
        <f>HLOOKUP(F261,Fees!$B$1:$E$2,2,FALSE)</f>
        <v>1.4999999999999999E-2</v>
      </c>
    </row>
    <row r="262" spans="1:12" x14ac:dyDescent="0.3">
      <c r="A262" t="s">
        <v>275</v>
      </c>
      <c r="B262">
        <v>93</v>
      </c>
      <c r="C26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  <c r="I262" t="str">
        <f>_xlfn.IFNA(VLOOKUP(C262,merchants!$A$2:$D$41,2,FALSE),"Merchant not found")</f>
        <v>Merchant_040</v>
      </c>
      <c r="J262" t="str">
        <f>_xlfn.IFNA(VLOOKUP(C262,merchants!$A$2:$D$41,3,FALSE),"Merchant not found")</f>
        <v>entertainment</v>
      </c>
      <c r="K262" t="str">
        <f>_xlfn.IFNA(VLOOKUP(C262,merchants!$A$2:$D$41,4,FALSE),"Merchant not found")</f>
        <v>South</v>
      </c>
      <c r="L262" s="2">
        <f>HLOOKUP(F262,Fees!$B$1:$E$2,2,FALSE)</f>
        <v>0</v>
      </c>
    </row>
    <row r="263" spans="1:12" x14ac:dyDescent="0.3">
      <c r="A263" t="s">
        <v>276</v>
      </c>
      <c r="B263">
        <v>211</v>
      </c>
      <c r="C263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  <c r="I263" t="str">
        <f>_xlfn.IFNA(VLOOKUP(C263,merchants!$A$2:$D$41,2,FALSE),"Merchant not found")</f>
        <v>Merchant_024</v>
      </c>
      <c r="J263" t="str">
        <f>_xlfn.IFNA(VLOOKUP(C263,merchants!$A$2:$D$41,3,FALSE),"Merchant not found")</f>
        <v>grocery</v>
      </c>
      <c r="K263" t="str">
        <f>_xlfn.IFNA(VLOOKUP(C263,merchants!$A$2:$D$41,4,FALSE),"Merchant not found")</f>
        <v>North</v>
      </c>
      <c r="L263" s="2">
        <f>HLOOKUP(F263,Fees!$B$1:$E$2,2,FALSE)</f>
        <v>0.01</v>
      </c>
    </row>
    <row r="264" spans="1:12" x14ac:dyDescent="0.3">
      <c r="A264" t="s">
        <v>277</v>
      </c>
      <c r="B264">
        <v>313</v>
      </c>
      <c r="C264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  <c r="I264" t="str">
        <f>_xlfn.IFNA(VLOOKUP(C264,merchants!$A$2:$D$41,2,FALSE),"Merchant not found")</f>
        <v>Merchant_019</v>
      </c>
      <c r="J264" t="str">
        <f>_xlfn.IFNA(VLOOKUP(C264,merchants!$A$2:$D$41,3,FALSE),"Merchant not found")</f>
        <v>grocery</v>
      </c>
      <c r="K264" t="str">
        <f>_xlfn.IFNA(VLOOKUP(C264,merchants!$A$2:$D$41,4,FALSE),"Merchant not found")</f>
        <v>North</v>
      </c>
      <c r="L264" s="2">
        <f>HLOOKUP(F264,Fees!$B$1:$E$2,2,FALSE)</f>
        <v>0</v>
      </c>
    </row>
    <row r="265" spans="1:12" x14ac:dyDescent="0.3">
      <c r="A265" t="s">
        <v>278</v>
      </c>
      <c r="B265">
        <v>274</v>
      </c>
      <c r="C265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  <c r="I265" t="str">
        <f>_xlfn.IFNA(VLOOKUP(C265,merchants!$A$2:$D$41,2,FALSE),"Merchant not found")</f>
        <v>Merchant_016</v>
      </c>
      <c r="J265" t="str">
        <f>_xlfn.IFNA(VLOOKUP(C265,merchants!$A$2:$D$41,3,FALSE),"Merchant not found")</f>
        <v>bill_payment</v>
      </c>
      <c r="K265" t="str">
        <f>_xlfn.IFNA(VLOOKUP(C265,merchants!$A$2:$D$41,4,FALSE),"Merchant not found")</f>
        <v>West</v>
      </c>
      <c r="L265" s="2">
        <f>HLOOKUP(F265,Fees!$B$1:$E$2,2,FALSE)</f>
        <v>1.4999999999999999E-2</v>
      </c>
    </row>
    <row r="266" spans="1:12" x14ac:dyDescent="0.3">
      <c r="A266" t="s">
        <v>279</v>
      </c>
      <c r="B266">
        <v>100</v>
      </c>
      <c r="C266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  <c r="I266" t="str">
        <f>_xlfn.IFNA(VLOOKUP(C266,merchants!$A$2:$D$41,2,FALSE),"Merchant not found")</f>
        <v>Merchant_024</v>
      </c>
      <c r="J266" t="str">
        <f>_xlfn.IFNA(VLOOKUP(C266,merchants!$A$2:$D$41,3,FALSE),"Merchant not found")</f>
        <v>grocery</v>
      </c>
      <c r="K266" t="str">
        <f>_xlfn.IFNA(VLOOKUP(C266,merchants!$A$2:$D$41,4,FALSE),"Merchant not found")</f>
        <v>North</v>
      </c>
      <c r="L266" s="2">
        <f>HLOOKUP(F266,Fees!$B$1:$E$2,2,FALSE)</f>
        <v>0</v>
      </c>
    </row>
    <row r="267" spans="1:12" x14ac:dyDescent="0.3">
      <c r="A267" t="s">
        <v>280</v>
      </c>
      <c r="B267">
        <v>145</v>
      </c>
      <c r="C267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  <c r="I267" t="str">
        <f>_xlfn.IFNA(VLOOKUP(C267,merchants!$A$2:$D$41,2,FALSE),"Merchant not found")</f>
        <v>Merchant_025</v>
      </c>
      <c r="J267" t="str">
        <f>_xlfn.IFNA(VLOOKUP(C267,merchants!$A$2:$D$41,3,FALSE),"Merchant not found")</f>
        <v>travel</v>
      </c>
      <c r="K267" t="str">
        <f>_xlfn.IFNA(VLOOKUP(C267,merchants!$A$2:$D$41,4,FALSE),"Merchant not found")</f>
        <v>South</v>
      </c>
      <c r="L267" s="2">
        <f>HLOOKUP(F267,Fees!$B$1:$E$2,2,FALSE)</f>
        <v>1.4999999999999999E-2</v>
      </c>
    </row>
    <row r="268" spans="1:12" x14ac:dyDescent="0.3">
      <c r="A268" t="s">
        <v>281</v>
      </c>
      <c r="B268">
        <v>103</v>
      </c>
      <c r="C268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  <c r="I268" t="str">
        <f>_xlfn.IFNA(VLOOKUP(C268,merchants!$A$2:$D$41,2,FALSE),"Merchant not found")</f>
        <v>Merchant_039</v>
      </c>
      <c r="J268" t="str">
        <f>_xlfn.IFNA(VLOOKUP(C268,merchants!$A$2:$D$41,3,FALSE),"Merchant not found")</f>
        <v>entertainment</v>
      </c>
      <c r="K268" t="str">
        <f>_xlfn.IFNA(VLOOKUP(C268,merchants!$A$2:$D$41,4,FALSE),"Merchant not found")</f>
        <v>North</v>
      </c>
      <c r="L268" s="2">
        <f>HLOOKUP(F268,Fees!$B$1:$E$2,2,FALSE)</f>
        <v>1.4999999999999999E-2</v>
      </c>
    </row>
    <row r="269" spans="1:12" x14ac:dyDescent="0.3">
      <c r="A269" t="s">
        <v>282</v>
      </c>
      <c r="B269">
        <v>329</v>
      </c>
      <c r="C269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  <c r="I269" t="str">
        <f>_xlfn.IFNA(VLOOKUP(C269,merchants!$A$2:$D$41,2,FALSE),"Merchant not found")</f>
        <v>Merchant_031</v>
      </c>
      <c r="J269" t="str">
        <f>_xlfn.IFNA(VLOOKUP(C269,merchants!$A$2:$D$41,3,FALSE),"Merchant not found")</f>
        <v>bill_payment</v>
      </c>
      <c r="K269" t="str">
        <f>_xlfn.IFNA(VLOOKUP(C269,merchants!$A$2:$D$41,4,FALSE),"Merchant not found")</f>
        <v>East</v>
      </c>
      <c r="L269" s="2">
        <f>HLOOKUP(F269,Fees!$B$1:$E$2,2,FALSE)</f>
        <v>1.4999999999999999E-2</v>
      </c>
    </row>
    <row r="270" spans="1:12" x14ac:dyDescent="0.3">
      <c r="A270" t="s">
        <v>283</v>
      </c>
      <c r="B270">
        <v>265</v>
      </c>
      <c r="C270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  <c r="I270" t="str">
        <f>_xlfn.IFNA(VLOOKUP(C270,merchants!$A$2:$D$41,2,FALSE),"Merchant not found")</f>
        <v>Merchant_008</v>
      </c>
      <c r="J270" t="str">
        <f>_xlfn.IFNA(VLOOKUP(C270,merchants!$A$2:$D$41,3,FALSE),"Merchant not found")</f>
        <v>food_delivery</v>
      </c>
      <c r="K270" t="str">
        <f>_xlfn.IFNA(VLOOKUP(C270,merchants!$A$2:$D$41,4,FALSE),"Merchant not found")</f>
        <v>North</v>
      </c>
      <c r="L270" s="2">
        <f>HLOOKUP(F270,Fees!$B$1:$E$2,2,FALSE)</f>
        <v>0.01</v>
      </c>
    </row>
    <row r="271" spans="1:12" x14ac:dyDescent="0.3">
      <c r="A271" t="s">
        <v>284</v>
      </c>
      <c r="B271">
        <v>231</v>
      </c>
      <c r="C271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  <c r="I271" t="str">
        <f>_xlfn.IFNA(VLOOKUP(C271,merchants!$A$2:$D$41,2,FALSE),"Merchant not found")</f>
        <v>Merchant_033</v>
      </c>
      <c r="J271" t="str">
        <f>_xlfn.IFNA(VLOOKUP(C271,merchants!$A$2:$D$41,3,FALSE),"Merchant not found")</f>
        <v>bill_payment</v>
      </c>
      <c r="K271" t="str">
        <f>_xlfn.IFNA(VLOOKUP(C271,merchants!$A$2:$D$41,4,FALSE),"Merchant not found")</f>
        <v>East</v>
      </c>
      <c r="L271" s="2">
        <f>HLOOKUP(F271,Fees!$B$1:$E$2,2,FALSE)</f>
        <v>0</v>
      </c>
    </row>
    <row r="272" spans="1:12" x14ac:dyDescent="0.3">
      <c r="A272" t="s">
        <v>285</v>
      </c>
      <c r="B272">
        <v>114</v>
      </c>
      <c r="C27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  <c r="I272" t="str">
        <f>_xlfn.IFNA(VLOOKUP(C272,merchants!$A$2:$D$41,2,FALSE),"Merchant not found")</f>
        <v>Merchant_029</v>
      </c>
      <c r="J272" t="str">
        <f>_xlfn.IFNA(VLOOKUP(C272,merchants!$A$2:$D$41,3,FALSE),"Merchant not found")</f>
        <v>ecommerce</v>
      </c>
      <c r="K272" t="str">
        <f>_xlfn.IFNA(VLOOKUP(C272,merchants!$A$2:$D$41,4,FALSE),"Merchant not found")</f>
        <v>North</v>
      </c>
      <c r="L272" s="2">
        <f>HLOOKUP(F272,Fees!$B$1:$E$2,2,FALSE)</f>
        <v>0</v>
      </c>
    </row>
    <row r="273" spans="1:12" x14ac:dyDescent="0.3">
      <c r="A273" t="s">
        <v>286</v>
      </c>
      <c r="B273">
        <v>28</v>
      </c>
      <c r="C273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  <c r="I273" t="str">
        <f>_xlfn.IFNA(VLOOKUP(C273,merchants!$A$2:$D$41,2,FALSE),"Merchant not found")</f>
        <v>Merchant_026</v>
      </c>
      <c r="J273" t="str">
        <f>_xlfn.IFNA(VLOOKUP(C273,merchants!$A$2:$D$41,3,FALSE),"Merchant not found")</f>
        <v>food_delivery</v>
      </c>
      <c r="K273" t="str">
        <f>_xlfn.IFNA(VLOOKUP(C273,merchants!$A$2:$D$41,4,FALSE),"Merchant not found")</f>
        <v>East</v>
      </c>
      <c r="L273" s="2">
        <f>HLOOKUP(F273,Fees!$B$1:$E$2,2,FALSE)</f>
        <v>0</v>
      </c>
    </row>
    <row r="274" spans="1:12" x14ac:dyDescent="0.3">
      <c r="A274" t="s">
        <v>287</v>
      </c>
      <c r="B274">
        <v>42</v>
      </c>
      <c r="C274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  <c r="I274" t="str">
        <f>_xlfn.IFNA(VLOOKUP(C274,merchants!$A$2:$D$41,2,FALSE),"Merchant not found")</f>
        <v>Merchant_024</v>
      </c>
      <c r="J274" t="str">
        <f>_xlfn.IFNA(VLOOKUP(C274,merchants!$A$2:$D$41,3,FALSE),"Merchant not found")</f>
        <v>grocery</v>
      </c>
      <c r="K274" t="str">
        <f>_xlfn.IFNA(VLOOKUP(C274,merchants!$A$2:$D$41,4,FALSE),"Merchant not found")</f>
        <v>North</v>
      </c>
      <c r="L274" s="2">
        <f>HLOOKUP(F274,Fees!$B$1:$E$2,2,FALSE)</f>
        <v>0</v>
      </c>
    </row>
    <row r="275" spans="1:12" x14ac:dyDescent="0.3">
      <c r="A275" t="s">
        <v>288</v>
      </c>
      <c r="B275">
        <v>51</v>
      </c>
      <c r="C275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  <c r="I275" t="str">
        <f>_xlfn.IFNA(VLOOKUP(C275,merchants!$A$2:$D$41,2,FALSE),"Merchant not found")</f>
        <v>Merchant_022</v>
      </c>
      <c r="J275" t="str">
        <f>_xlfn.IFNA(VLOOKUP(C275,merchants!$A$2:$D$41,3,FALSE),"Merchant not found")</f>
        <v>travel</v>
      </c>
      <c r="K275" t="str">
        <f>_xlfn.IFNA(VLOOKUP(C275,merchants!$A$2:$D$41,4,FALSE),"Merchant not found")</f>
        <v>South</v>
      </c>
      <c r="L275" s="2">
        <f>HLOOKUP(F275,Fees!$B$1:$E$2,2,FALSE)</f>
        <v>0</v>
      </c>
    </row>
    <row r="276" spans="1:12" x14ac:dyDescent="0.3">
      <c r="A276" t="s">
        <v>289</v>
      </c>
      <c r="B276">
        <v>242</v>
      </c>
      <c r="C276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  <c r="I276" t="str">
        <f>_xlfn.IFNA(VLOOKUP(C276,merchants!$A$2:$D$41,2,FALSE),"Merchant not found")</f>
        <v>Merchant_009</v>
      </c>
      <c r="J276" t="str">
        <f>_xlfn.IFNA(VLOOKUP(C276,merchants!$A$2:$D$41,3,FALSE),"Merchant not found")</f>
        <v>ecommerce</v>
      </c>
      <c r="K276" t="str">
        <f>_xlfn.IFNA(VLOOKUP(C276,merchants!$A$2:$D$41,4,FALSE),"Merchant not found")</f>
        <v>North</v>
      </c>
      <c r="L276" s="2">
        <f>HLOOKUP(F276,Fees!$B$1:$E$2,2,FALSE)</f>
        <v>0</v>
      </c>
    </row>
    <row r="277" spans="1:12" x14ac:dyDescent="0.3">
      <c r="A277" t="s">
        <v>290</v>
      </c>
      <c r="B277">
        <v>316</v>
      </c>
      <c r="C277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  <c r="I277" t="str">
        <f>_xlfn.IFNA(VLOOKUP(C277,merchants!$A$2:$D$41,2,FALSE),"Merchant not found")</f>
        <v>Merchant_001</v>
      </c>
      <c r="J277" t="str">
        <f>_xlfn.IFNA(VLOOKUP(C277,merchants!$A$2:$D$41,3,FALSE),"Merchant not found")</f>
        <v>ecommerce</v>
      </c>
      <c r="K277" t="str">
        <f>_xlfn.IFNA(VLOOKUP(C277,merchants!$A$2:$D$41,4,FALSE),"Merchant not found")</f>
        <v>South</v>
      </c>
      <c r="L277" s="2">
        <f>HLOOKUP(F277,Fees!$B$1:$E$2,2,FALSE)</f>
        <v>0</v>
      </c>
    </row>
    <row r="278" spans="1:12" x14ac:dyDescent="0.3">
      <c r="A278" t="s">
        <v>291</v>
      </c>
      <c r="B278">
        <v>77</v>
      </c>
      <c r="C278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  <c r="I278" t="str">
        <f>_xlfn.IFNA(VLOOKUP(C278,merchants!$A$2:$D$41,2,FALSE),"Merchant not found")</f>
        <v>Merchant_036</v>
      </c>
      <c r="J278" t="str">
        <f>_xlfn.IFNA(VLOOKUP(C278,merchants!$A$2:$D$41,3,FALSE),"Merchant not found")</f>
        <v>entertainment</v>
      </c>
      <c r="K278" t="str">
        <f>_xlfn.IFNA(VLOOKUP(C278,merchants!$A$2:$D$41,4,FALSE),"Merchant not found")</f>
        <v>East</v>
      </c>
      <c r="L278" s="2">
        <f>HLOOKUP(F278,Fees!$B$1:$E$2,2,FALSE)</f>
        <v>0</v>
      </c>
    </row>
    <row r="279" spans="1:12" x14ac:dyDescent="0.3">
      <c r="A279" t="s">
        <v>292</v>
      </c>
      <c r="B279">
        <v>57</v>
      </c>
      <c r="C279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  <c r="I279" t="str">
        <f>_xlfn.IFNA(VLOOKUP(C279,merchants!$A$2:$D$41,2,FALSE),"Merchant not found")</f>
        <v>Merchant_019</v>
      </c>
      <c r="J279" t="str">
        <f>_xlfn.IFNA(VLOOKUP(C279,merchants!$A$2:$D$41,3,FALSE),"Merchant not found")</f>
        <v>grocery</v>
      </c>
      <c r="K279" t="str">
        <f>_xlfn.IFNA(VLOOKUP(C279,merchants!$A$2:$D$41,4,FALSE),"Merchant not found")</f>
        <v>North</v>
      </c>
      <c r="L279" s="2">
        <f>HLOOKUP(F279,Fees!$B$1:$E$2,2,FALSE)</f>
        <v>0</v>
      </c>
    </row>
    <row r="280" spans="1:12" x14ac:dyDescent="0.3">
      <c r="A280" t="s">
        <v>293</v>
      </c>
      <c r="B280">
        <v>123</v>
      </c>
      <c r="C280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  <c r="I280" t="str">
        <f>_xlfn.IFNA(VLOOKUP(C280,merchants!$A$2:$D$41,2,FALSE),"Merchant not found")</f>
        <v>Merchant_027</v>
      </c>
      <c r="J280" t="str">
        <f>_xlfn.IFNA(VLOOKUP(C280,merchants!$A$2:$D$41,3,FALSE),"Merchant not found")</f>
        <v>ecommerce</v>
      </c>
      <c r="K280" t="str">
        <f>_xlfn.IFNA(VLOOKUP(C280,merchants!$A$2:$D$41,4,FALSE),"Merchant not found")</f>
        <v>North</v>
      </c>
      <c r="L280" s="2">
        <f>HLOOKUP(F280,Fees!$B$1:$E$2,2,FALSE)</f>
        <v>0.01</v>
      </c>
    </row>
    <row r="281" spans="1:12" x14ac:dyDescent="0.3">
      <c r="A281" t="s">
        <v>294</v>
      </c>
      <c r="B281">
        <v>33</v>
      </c>
      <c r="C281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  <c r="I281" t="str">
        <f>_xlfn.IFNA(VLOOKUP(C281,merchants!$A$2:$D$41,2,FALSE),"Merchant not found")</f>
        <v>Merchant_008</v>
      </c>
      <c r="J281" t="str">
        <f>_xlfn.IFNA(VLOOKUP(C281,merchants!$A$2:$D$41,3,FALSE),"Merchant not found")</f>
        <v>food_delivery</v>
      </c>
      <c r="K281" t="str">
        <f>_xlfn.IFNA(VLOOKUP(C281,merchants!$A$2:$D$41,4,FALSE),"Merchant not found")</f>
        <v>North</v>
      </c>
      <c r="L281" s="2">
        <f>HLOOKUP(F281,Fees!$B$1:$E$2,2,FALSE)</f>
        <v>1.4999999999999999E-2</v>
      </c>
    </row>
    <row r="282" spans="1:12" x14ac:dyDescent="0.3">
      <c r="A282" t="s">
        <v>295</v>
      </c>
      <c r="B282">
        <v>324</v>
      </c>
      <c r="C28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  <c r="I282" t="str">
        <f>_xlfn.IFNA(VLOOKUP(C282,merchants!$A$2:$D$41,2,FALSE),"Merchant not found")</f>
        <v>Merchant_033</v>
      </c>
      <c r="J282" t="str">
        <f>_xlfn.IFNA(VLOOKUP(C282,merchants!$A$2:$D$41,3,FALSE),"Merchant not found")</f>
        <v>bill_payment</v>
      </c>
      <c r="K282" t="str">
        <f>_xlfn.IFNA(VLOOKUP(C282,merchants!$A$2:$D$41,4,FALSE),"Merchant not found")</f>
        <v>East</v>
      </c>
      <c r="L282" s="2">
        <f>HLOOKUP(F282,Fees!$B$1:$E$2,2,FALSE)</f>
        <v>0</v>
      </c>
    </row>
    <row r="283" spans="1:12" x14ac:dyDescent="0.3">
      <c r="A283" t="s">
        <v>296</v>
      </c>
      <c r="B283">
        <v>150</v>
      </c>
      <c r="C283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  <c r="I283" t="str">
        <f>_xlfn.IFNA(VLOOKUP(C283,merchants!$A$2:$D$41,2,FALSE),"Merchant not found")</f>
        <v>Merchant_028</v>
      </c>
      <c r="J283" t="str">
        <f>_xlfn.IFNA(VLOOKUP(C283,merchants!$A$2:$D$41,3,FALSE),"Merchant not found")</f>
        <v>ecommerce</v>
      </c>
      <c r="K283" t="str">
        <f>_xlfn.IFNA(VLOOKUP(C283,merchants!$A$2:$D$41,4,FALSE),"Merchant not found")</f>
        <v>South</v>
      </c>
      <c r="L283" s="2">
        <f>HLOOKUP(F283,Fees!$B$1:$E$2,2,FALSE)</f>
        <v>0</v>
      </c>
    </row>
    <row r="284" spans="1:12" x14ac:dyDescent="0.3">
      <c r="A284" t="s">
        <v>297</v>
      </c>
      <c r="B284">
        <v>293</v>
      </c>
      <c r="C284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  <c r="I284" t="str">
        <f>_xlfn.IFNA(VLOOKUP(C284,merchants!$A$2:$D$41,2,FALSE),"Merchant not found")</f>
        <v>Merchant_027</v>
      </c>
      <c r="J284" t="str">
        <f>_xlfn.IFNA(VLOOKUP(C284,merchants!$A$2:$D$41,3,FALSE),"Merchant not found")</f>
        <v>ecommerce</v>
      </c>
      <c r="K284" t="str">
        <f>_xlfn.IFNA(VLOOKUP(C284,merchants!$A$2:$D$41,4,FALSE),"Merchant not found")</f>
        <v>North</v>
      </c>
      <c r="L284" s="2">
        <f>HLOOKUP(F284,Fees!$B$1:$E$2,2,FALSE)</f>
        <v>0</v>
      </c>
    </row>
    <row r="285" spans="1:12" x14ac:dyDescent="0.3">
      <c r="A285" t="s">
        <v>298</v>
      </c>
      <c r="B285">
        <v>269</v>
      </c>
      <c r="C285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  <c r="I285" t="str">
        <f>_xlfn.IFNA(VLOOKUP(C285,merchants!$A$2:$D$41,2,FALSE),"Merchant not found")</f>
        <v>Merchant_024</v>
      </c>
      <c r="J285" t="str">
        <f>_xlfn.IFNA(VLOOKUP(C285,merchants!$A$2:$D$41,3,FALSE),"Merchant not found")</f>
        <v>grocery</v>
      </c>
      <c r="K285" t="str">
        <f>_xlfn.IFNA(VLOOKUP(C285,merchants!$A$2:$D$41,4,FALSE),"Merchant not found")</f>
        <v>North</v>
      </c>
      <c r="L285" s="2">
        <f>HLOOKUP(F285,Fees!$B$1:$E$2,2,FALSE)</f>
        <v>1.4999999999999999E-2</v>
      </c>
    </row>
    <row r="286" spans="1:12" x14ac:dyDescent="0.3">
      <c r="A286" t="s">
        <v>299</v>
      </c>
      <c r="B286">
        <v>260</v>
      </c>
      <c r="C286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  <c r="I286" t="str">
        <f>_xlfn.IFNA(VLOOKUP(C286,merchants!$A$2:$D$41,2,FALSE),"Merchant not found")</f>
        <v>Merchant_036</v>
      </c>
      <c r="J286" t="str">
        <f>_xlfn.IFNA(VLOOKUP(C286,merchants!$A$2:$D$41,3,FALSE),"Merchant not found")</f>
        <v>entertainment</v>
      </c>
      <c r="K286" t="str">
        <f>_xlfn.IFNA(VLOOKUP(C286,merchants!$A$2:$D$41,4,FALSE),"Merchant not found")</f>
        <v>East</v>
      </c>
      <c r="L286" s="2">
        <f>HLOOKUP(F286,Fees!$B$1:$E$2,2,FALSE)</f>
        <v>0</v>
      </c>
    </row>
    <row r="287" spans="1:12" x14ac:dyDescent="0.3">
      <c r="A287" t="s">
        <v>300</v>
      </c>
      <c r="B287">
        <v>326</v>
      </c>
      <c r="C287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  <c r="I287" t="str">
        <f>_xlfn.IFNA(VLOOKUP(C287,merchants!$A$2:$D$41,2,FALSE),"Merchant not found")</f>
        <v>Merchant_025</v>
      </c>
      <c r="J287" t="str">
        <f>_xlfn.IFNA(VLOOKUP(C287,merchants!$A$2:$D$41,3,FALSE),"Merchant not found")</f>
        <v>travel</v>
      </c>
      <c r="K287" t="str">
        <f>_xlfn.IFNA(VLOOKUP(C287,merchants!$A$2:$D$41,4,FALSE),"Merchant not found")</f>
        <v>South</v>
      </c>
      <c r="L287" s="2">
        <f>HLOOKUP(F287,Fees!$B$1:$E$2,2,FALSE)</f>
        <v>0</v>
      </c>
    </row>
    <row r="288" spans="1:12" x14ac:dyDescent="0.3">
      <c r="A288" t="s">
        <v>301</v>
      </c>
      <c r="B288">
        <v>183</v>
      </c>
      <c r="C288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  <c r="I288" t="str">
        <f>_xlfn.IFNA(VLOOKUP(C288,merchants!$A$2:$D$41,2,FALSE),"Merchant not found")</f>
        <v>Merchant_005</v>
      </c>
      <c r="J288" t="str">
        <f>_xlfn.IFNA(VLOOKUP(C288,merchants!$A$2:$D$41,3,FALSE),"Merchant not found")</f>
        <v>recharge</v>
      </c>
      <c r="K288" t="str">
        <f>_xlfn.IFNA(VLOOKUP(C288,merchants!$A$2:$D$41,4,FALSE),"Merchant not found")</f>
        <v>South</v>
      </c>
      <c r="L288" s="2">
        <f>HLOOKUP(F288,Fees!$B$1:$E$2,2,FALSE)</f>
        <v>0.02</v>
      </c>
    </row>
    <row r="289" spans="1:12" x14ac:dyDescent="0.3">
      <c r="A289" t="s">
        <v>302</v>
      </c>
      <c r="B289">
        <v>322</v>
      </c>
      <c r="C289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  <c r="I289" t="str">
        <f>_xlfn.IFNA(VLOOKUP(C289,merchants!$A$2:$D$41,2,FALSE),"Merchant not found")</f>
        <v>Merchant_007</v>
      </c>
      <c r="J289" t="str">
        <f>_xlfn.IFNA(VLOOKUP(C289,merchants!$A$2:$D$41,3,FALSE),"Merchant not found")</f>
        <v>food_delivery</v>
      </c>
      <c r="K289" t="str">
        <f>_xlfn.IFNA(VLOOKUP(C289,merchants!$A$2:$D$41,4,FALSE),"Merchant not found")</f>
        <v>East</v>
      </c>
      <c r="L289" s="2">
        <f>HLOOKUP(F289,Fees!$B$1:$E$2,2,FALSE)</f>
        <v>0</v>
      </c>
    </row>
    <row r="290" spans="1:12" x14ac:dyDescent="0.3">
      <c r="A290" t="s">
        <v>303</v>
      </c>
      <c r="B290">
        <v>171</v>
      </c>
      <c r="C290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  <c r="I290" t="str">
        <f>_xlfn.IFNA(VLOOKUP(C290,merchants!$A$2:$D$41,2,FALSE),"Merchant not found")</f>
        <v>Merchant_009</v>
      </c>
      <c r="J290" t="str">
        <f>_xlfn.IFNA(VLOOKUP(C290,merchants!$A$2:$D$41,3,FALSE),"Merchant not found")</f>
        <v>ecommerce</v>
      </c>
      <c r="K290" t="str">
        <f>_xlfn.IFNA(VLOOKUP(C290,merchants!$A$2:$D$41,4,FALSE),"Merchant not found")</f>
        <v>North</v>
      </c>
      <c r="L290" s="2">
        <f>HLOOKUP(F290,Fees!$B$1:$E$2,2,FALSE)</f>
        <v>0</v>
      </c>
    </row>
    <row r="291" spans="1:12" x14ac:dyDescent="0.3">
      <c r="A291" t="s">
        <v>304</v>
      </c>
      <c r="B291">
        <v>330</v>
      </c>
      <c r="C291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  <c r="I291" t="str">
        <f>_xlfn.IFNA(VLOOKUP(C291,merchants!$A$2:$D$41,2,FALSE),"Merchant not found")</f>
        <v>Merchant_012</v>
      </c>
      <c r="J291" t="str">
        <f>_xlfn.IFNA(VLOOKUP(C291,merchants!$A$2:$D$41,3,FALSE),"Merchant not found")</f>
        <v>ecommerce</v>
      </c>
      <c r="K291" t="str">
        <f>_xlfn.IFNA(VLOOKUP(C291,merchants!$A$2:$D$41,4,FALSE),"Merchant not found")</f>
        <v>East</v>
      </c>
      <c r="L291" s="2">
        <f>HLOOKUP(F291,Fees!$B$1:$E$2,2,FALSE)</f>
        <v>0.01</v>
      </c>
    </row>
    <row r="292" spans="1:12" x14ac:dyDescent="0.3">
      <c r="A292" t="s">
        <v>305</v>
      </c>
      <c r="B292">
        <v>246</v>
      </c>
      <c r="C29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  <c r="I292" t="str">
        <f>_xlfn.IFNA(VLOOKUP(C292,merchants!$A$2:$D$41,2,FALSE),"Merchant not found")</f>
        <v>Merchant_012</v>
      </c>
      <c r="J292" t="str">
        <f>_xlfn.IFNA(VLOOKUP(C292,merchants!$A$2:$D$41,3,FALSE),"Merchant not found")</f>
        <v>ecommerce</v>
      </c>
      <c r="K292" t="str">
        <f>_xlfn.IFNA(VLOOKUP(C292,merchants!$A$2:$D$41,4,FALSE),"Merchant not found")</f>
        <v>East</v>
      </c>
      <c r="L292" s="2">
        <f>HLOOKUP(F292,Fees!$B$1:$E$2,2,FALSE)</f>
        <v>1.4999999999999999E-2</v>
      </c>
    </row>
    <row r="293" spans="1:12" x14ac:dyDescent="0.3">
      <c r="A293" t="s">
        <v>306</v>
      </c>
      <c r="B293">
        <v>235</v>
      </c>
      <c r="C293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  <c r="I293" t="str">
        <f>_xlfn.IFNA(VLOOKUP(C293,merchants!$A$2:$D$41,2,FALSE),"Merchant not found")</f>
        <v>Merchant_003</v>
      </c>
      <c r="J293" t="str">
        <f>_xlfn.IFNA(VLOOKUP(C293,merchants!$A$2:$D$41,3,FALSE),"Merchant not found")</f>
        <v>grocery</v>
      </c>
      <c r="K293" t="str">
        <f>_xlfn.IFNA(VLOOKUP(C293,merchants!$A$2:$D$41,4,FALSE),"Merchant not found")</f>
        <v>East</v>
      </c>
      <c r="L293" s="2">
        <f>HLOOKUP(F293,Fees!$B$1:$E$2,2,FALSE)</f>
        <v>0</v>
      </c>
    </row>
    <row r="294" spans="1:12" x14ac:dyDescent="0.3">
      <c r="A294" t="s">
        <v>307</v>
      </c>
      <c r="B294">
        <v>103</v>
      </c>
      <c r="C294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  <c r="I294" t="str">
        <f>_xlfn.IFNA(VLOOKUP(C294,merchants!$A$2:$D$41,2,FALSE),"Merchant not found")</f>
        <v>Merchant_003</v>
      </c>
      <c r="J294" t="str">
        <f>_xlfn.IFNA(VLOOKUP(C294,merchants!$A$2:$D$41,3,FALSE),"Merchant not found")</f>
        <v>grocery</v>
      </c>
      <c r="K294" t="str">
        <f>_xlfn.IFNA(VLOOKUP(C294,merchants!$A$2:$D$41,4,FALSE),"Merchant not found")</f>
        <v>East</v>
      </c>
      <c r="L294" s="2">
        <f>HLOOKUP(F294,Fees!$B$1:$E$2,2,FALSE)</f>
        <v>0</v>
      </c>
    </row>
    <row r="295" spans="1:12" x14ac:dyDescent="0.3">
      <c r="A295" t="s">
        <v>308</v>
      </c>
      <c r="B295">
        <v>204</v>
      </c>
      <c r="C295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  <c r="I295" t="str">
        <f>_xlfn.IFNA(VLOOKUP(C295,merchants!$A$2:$D$41,2,FALSE),"Merchant not found")</f>
        <v>Merchant_035</v>
      </c>
      <c r="J295" t="str">
        <f>_xlfn.IFNA(VLOOKUP(C295,merchants!$A$2:$D$41,3,FALSE),"Merchant not found")</f>
        <v>recharge</v>
      </c>
      <c r="K295" t="str">
        <f>_xlfn.IFNA(VLOOKUP(C295,merchants!$A$2:$D$41,4,FALSE),"Merchant not found")</f>
        <v>East</v>
      </c>
      <c r="L295" s="2">
        <f>HLOOKUP(F295,Fees!$B$1:$E$2,2,FALSE)</f>
        <v>1.4999999999999999E-2</v>
      </c>
    </row>
    <row r="296" spans="1:12" x14ac:dyDescent="0.3">
      <c r="A296" t="s">
        <v>309</v>
      </c>
      <c r="B296">
        <v>332</v>
      </c>
      <c r="C296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  <c r="I296" t="str">
        <f>_xlfn.IFNA(VLOOKUP(C296,merchants!$A$2:$D$41,2,FALSE),"Merchant not found")</f>
        <v>Merchant_013</v>
      </c>
      <c r="J296" t="str">
        <f>_xlfn.IFNA(VLOOKUP(C296,merchants!$A$2:$D$41,3,FALSE),"Merchant not found")</f>
        <v>travel</v>
      </c>
      <c r="K296" t="str">
        <f>_xlfn.IFNA(VLOOKUP(C296,merchants!$A$2:$D$41,4,FALSE),"Merchant not found")</f>
        <v>East</v>
      </c>
      <c r="L296" s="2">
        <f>HLOOKUP(F296,Fees!$B$1:$E$2,2,FALSE)</f>
        <v>0.02</v>
      </c>
    </row>
    <row r="297" spans="1:12" x14ac:dyDescent="0.3">
      <c r="A297" t="s">
        <v>310</v>
      </c>
      <c r="B297">
        <v>336</v>
      </c>
      <c r="C297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  <c r="I297" t="str">
        <f>_xlfn.IFNA(VLOOKUP(C297,merchants!$A$2:$D$41,2,FALSE),"Merchant not found")</f>
        <v>Merchant_022</v>
      </c>
      <c r="J297" t="str">
        <f>_xlfn.IFNA(VLOOKUP(C297,merchants!$A$2:$D$41,3,FALSE),"Merchant not found")</f>
        <v>travel</v>
      </c>
      <c r="K297" t="str">
        <f>_xlfn.IFNA(VLOOKUP(C297,merchants!$A$2:$D$41,4,FALSE),"Merchant not found")</f>
        <v>South</v>
      </c>
      <c r="L297" s="2">
        <f>HLOOKUP(F297,Fees!$B$1:$E$2,2,FALSE)</f>
        <v>0</v>
      </c>
    </row>
    <row r="298" spans="1:12" x14ac:dyDescent="0.3">
      <c r="A298" t="s">
        <v>311</v>
      </c>
      <c r="B298">
        <v>205</v>
      </c>
      <c r="C298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  <c r="I298" t="str">
        <f>_xlfn.IFNA(VLOOKUP(C298,merchants!$A$2:$D$41,2,FALSE),"Merchant not found")</f>
        <v>Merchant_029</v>
      </c>
      <c r="J298" t="str">
        <f>_xlfn.IFNA(VLOOKUP(C298,merchants!$A$2:$D$41,3,FALSE),"Merchant not found")</f>
        <v>ecommerce</v>
      </c>
      <c r="K298" t="str">
        <f>_xlfn.IFNA(VLOOKUP(C298,merchants!$A$2:$D$41,4,FALSE),"Merchant not found")</f>
        <v>North</v>
      </c>
      <c r="L298" s="2">
        <f>HLOOKUP(F298,Fees!$B$1:$E$2,2,FALSE)</f>
        <v>1.4999999999999999E-2</v>
      </c>
    </row>
    <row r="299" spans="1:12" x14ac:dyDescent="0.3">
      <c r="A299" t="s">
        <v>312</v>
      </c>
      <c r="B299">
        <v>255</v>
      </c>
      <c r="C299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  <c r="I299" t="str">
        <f>_xlfn.IFNA(VLOOKUP(C299,merchants!$A$2:$D$41,2,FALSE),"Merchant not found")</f>
        <v>Merchant_024</v>
      </c>
      <c r="J299" t="str">
        <f>_xlfn.IFNA(VLOOKUP(C299,merchants!$A$2:$D$41,3,FALSE),"Merchant not found")</f>
        <v>grocery</v>
      </c>
      <c r="K299" t="str">
        <f>_xlfn.IFNA(VLOOKUP(C299,merchants!$A$2:$D$41,4,FALSE),"Merchant not found")</f>
        <v>North</v>
      </c>
      <c r="L299" s="2">
        <f>HLOOKUP(F299,Fees!$B$1:$E$2,2,FALSE)</f>
        <v>0</v>
      </c>
    </row>
    <row r="300" spans="1:12" x14ac:dyDescent="0.3">
      <c r="A300" t="s">
        <v>313</v>
      </c>
      <c r="B300">
        <v>218</v>
      </c>
      <c r="C300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  <c r="I300" t="str">
        <f>_xlfn.IFNA(VLOOKUP(C300,merchants!$A$2:$D$41,2,FALSE),"Merchant not found")</f>
        <v>Merchant_006</v>
      </c>
      <c r="J300" t="str">
        <f>_xlfn.IFNA(VLOOKUP(C300,merchants!$A$2:$D$41,3,FALSE),"Merchant not found")</f>
        <v>food_delivery</v>
      </c>
      <c r="K300" t="str">
        <f>_xlfn.IFNA(VLOOKUP(C300,merchants!$A$2:$D$41,4,FALSE),"Merchant not found")</f>
        <v>South</v>
      </c>
      <c r="L300" s="2">
        <f>HLOOKUP(F300,Fees!$B$1:$E$2,2,FALSE)</f>
        <v>0</v>
      </c>
    </row>
    <row r="301" spans="1:12" x14ac:dyDescent="0.3">
      <c r="A301" t="s">
        <v>314</v>
      </c>
      <c r="B301">
        <v>151</v>
      </c>
      <c r="C301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  <c r="I301" t="str">
        <f>_xlfn.IFNA(VLOOKUP(C301,merchants!$A$2:$D$41,2,FALSE),"Merchant not found")</f>
        <v>Merchant_021</v>
      </c>
      <c r="J301" t="str">
        <f>_xlfn.IFNA(VLOOKUP(C301,merchants!$A$2:$D$41,3,FALSE),"Merchant not found")</f>
        <v>food_delivery</v>
      </c>
      <c r="K301" t="str">
        <f>_xlfn.IFNA(VLOOKUP(C301,merchants!$A$2:$D$41,4,FALSE),"Merchant not found")</f>
        <v>East</v>
      </c>
      <c r="L301" s="2">
        <f>HLOOKUP(F301,Fees!$B$1:$E$2,2,FALSE)</f>
        <v>0</v>
      </c>
    </row>
    <row r="302" spans="1:12" x14ac:dyDescent="0.3">
      <c r="A302" t="s">
        <v>315</v>
      </c>
      <c r="B302">
        <v>152</v>
      </c>
      <c r="C30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  <c r="I302" t="str">
        <f>_xlfn.IFNA(VLOOKUP(C302,merchants!$A$2:$D$41,2,FALSE),"Merchant not found")</f>
        <v>Merchant_020</v>
      </c>
      <c r="J302" t="str">
        <f>_xlfn.IFNA(VLOOKUP(C302,merchants!$A$2:$D$41,3,FALSE),"Merchant not found")</f>
        <v>food_delivery</v>
      </c>
      <c r="K302" t="str">
        <f>_xlfn.IFNA(VLOOKUP(C302,merchants!$A$2:$D$41,4,FALSE),"Merchant not found")</f>
        <v>East</v>
      </c>
      <c r="L302" s="2">
        <f>HLOOKUP(F302,Fees!$B$1:$E$2,2,FALSE)</f>
        <v>0</v>
      </c>
    </row>
    <row r="303" spans="1:12" x14ac:dyDescent="0.3">
      <c r="A303" t="s">
        <v>316</v>
      </c>
      <c r="B303">
        <v>86</v>
      </c>
      <c r="C303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  <c r="I303" t="str">
        <f>_xlfn.IFNA(VLOOKUP(C303,merchants!$A$2:$D$41,2,FALSE),"Merchant not found")</f>
        <v>Merchant_029</v>
      </c>
      <c r="J303" t="str">
        <f>_xlfn.IFNA(VLOOKUP(C303,merchants!$A$2:$D$41,3,FALSE),"Merchant not found")</f>
        <v>ecommerce</v>
      </c>
      <c r="K303" t="str">
        <f>_xlfn.IFNA(VLOOKUP(C303,merchants!$A$2:$D$41,4,FALSE),"Merchant not found")</f>
        <v>North</v>
      </c>
      <c r="L303" s="2">
        <f>HLOOKUP(F303,Fees!$B$1:$E$2,2,FALSE)</f>
        <v>0.02</v>
      </c>
    </row>
    <row r="304" spans="1:12" x14ac:dyDescent="0.3">
      <c r="A304" t="s">
        <v>317</v>
      </c>
      <c r="B304">
        <v>181</v>
      </c>
      <c r="C304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  <c r="I304" t="str">
        <f>_xlfn.IFNA(VLOOKUP(C304,merchants!$A$2:$D$41,2,FALSE),"Merchant not found")</f>
        <v>Merchant_040</v>
      </c>
      <c r="J304" t="str">
        <f>_xlfn.IFNA(VLOOKUP(C304,merchants!$A$2:$D$41,3,FALSE),"Merchant not found")</f>
        <v>entertainment</v>
      </c>
      <c r="K304" t="str">
        <f>_xlfn.IFNA(VLOOKUP(C304,merchants!$A$2:$D$41,4,FALSE),"Merchant not found")</f>
        <v>South</v>
      </c>
      <c r="L304" s="2">
        <f>HLOOKUP(F304,Fees!$B$1:$E$2,2,FALSE)</f>
        <v>0</v>
      </c>
    </row>
    <row r="305" spans="1:12" x14ac:dyDescent="0.3">
      <c r="A305" t="s">
        <v>318</v>
      </c>
      <c r="B305">
        <v>30</v>
      </c>
      <c r="C305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  <c r="I305" t="str">
        <f>_xlfn.IFNA(VLOOKUP(C305,merchants!$A$2:$D$41,2,FALSE),"Merchant not found")</f>
        <v>Merchant_005</v>
      </c>
      <c r="J305" t="str">
        <f>_xlfn.IFNA(VLOOKUP(C305,merchants!$A$2:$D$41,3,FALSE),"Merchant not found")</f>
        <v>recharge</v>
      </c>
      <c r="K305" t="str">
        <f>_xlfn.IFNA(VLOOKUP(C305,merchants!$A$2:$D$41,4,FALSE),"Merchant not found")</f>
        <v>South</v>
      </c>
      <c r="L305" s="2">
        <f>HLOOKUP(F305,Fees!$B$1:$E$2,2,FALSE)</f>
        <v>0</v>
      </c>
    </row>
    <row r="306" spans="1:12" x14ac:dyDescent="0.3">
      <c r="A306" t="s">
        <v>319</v>
      </c>
      <c r="B306">
        <v>263</v>
      </c>
      <c r="C306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  <c r="I306" t="str">
        <f>_xlfn.IFNA(VLOOKUP(C306,merchants!$A$2:$D$41,2,FALSE),"Merchant not found")</f>
        <v>Merchant_011</v>
      </c>
      <c r="J306" t="str">
        <f>_xlfn.IFNA(VLOOKUP(C306,merchants!$A$2:$D$41,3,FALSE),"Merchant not found")</f>
        <v>ecommerce</v>
      </c>
      <c r="K306" t="str">
        <f>_xlfn.IFNA(VLOOKUP(C306,merchants!$A$2:$D$41,4,FALSE),"Merchant not found")</f>
        <v>North</v>
      </c>
      <c r="L306" s="2">
        <f>HLOOKUP(F306,Fees!$B$1:$E$2,2,FALSE)</f>
        <v>1.4999999999999999E-2</v>
      </c>
    </row>
    <row r="307" spans="1:12" x14ac:dyDescent="0.3">
      <c r="A307" t="s">
        <v>320</v>
      </c>
      <c r="B307">
        <v>225</v>
      </c>
      <c r="C307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  <c r="I307" t="str">
        <f>_xlfn.IFNA(VLOOKUP(C307,merchants!$A$2:$D$41,2,FALSE),"Merchant not found")</f>
        <v>Merchant_003</v>
      </c>
      <c r="J307" t="str">
        <f>_xlfn.IFNA(VLOOKUP(C307,merchants!$A$2:$D$41,3,FALSE),"Merchant not found")</f>
        <v>grocery</v>
      </c>
      <c r="K307" t="str">
        <f>_xlfn.IFNA(VLOOKUP(C307,merchants!$A$2:$D$41,4,FALSE),"Merchant not found")</f>
        <v>East</v>
      </c>
      <c r="L307" s="2">
        <f>HLOOKUP(F307,Fees!$B$1:$E$2,2,FALSE)</f>
        <v>0.01</v>
      </c>
    </row>
    <row r="308" spans="1:12" x14ac:dyDescent="0.3">
      <c r="A308" t="s">
        <v>321</v>
      </c>
      <c r="B308">
        <v>331</v>
      </c>
      <c r="C308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  <c r="I308" t="str">
        <f>_xlfn.IFNA(VLOOKUP(C308,merchants!$A$2:$D$41,2,FALSE),"Merchant not found")</f>
        <v>Merchant_024</v>
      </c>
      <c r="J308" t="str">
        <f>_xlfn.IFNA(VLOOKUP(C308,merchants!$A$2:$D$41,3,FALSE),"Merchant not found")</f>
        <v>grocery</v>
      </c>
      <c r="K308" t="str">
        <f>_xlfn.IFNA(VLOOKUP(C308,merchants!$A$2:$D$41,4,FALSE),"Merchant not found")</f>
        <v>North</v>
      </c>
      <c r="L308" s="2">
        <f>HLOOKUP(F308,Fees!$B$1:$E$2,2,FALSE)</f>
        <v>0.02</v>
      </c>
    </row>
    <row r="309" spans="1:12" x14ac:dyDescent="0.3">
      <c r="A309" t="s">
        <v>322</v>
      </c>
      <c r="B309">
        <v>310</v>
      </c>
      <c r="C309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  <c r="I309" t="str">
        <f>_xlfn.IFNA(VLOOKUP(C309,merchants!$A$2:$D$41,2,FALSE),"Merchant not found")</f>
        <v>Merchant_010</v>
      </c>
      <c r="J309" t="str">
        <f>_xlfn.IFNA(VLOOKUP(C309,merchants!$A$2:$D$41,3,FALSE),"Merchant not found")</f>
        <v>grocery</v>
      </c>
      <c r="K309" t="str">
        <f>_xlfn.IFNA(VLOOKUP(C309,merchants!$A$2:$D$41,4,FALSE),"Merchant not found")</f>
        <v>West</v>
      </c>
      <c r="L309" s="2">
        <f>HLOOKUP(F309,Fees!$B$1:$E$2,2,FALSE)</f>
        <v>0.02</v>
      </c>
    </row>
    <row r="310" spans="1:12" x14ac:dyDescent="0.3">
      <c r="A310" t="s">
        <v>323</v>
      </c>
      <c r="B310">
        <v>228</v>
      </c>
      <c r="C310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  <c r="I310" t="str">
        <f>_xlfn.IFNA(VLOOKUP(C310,merchants!$A$2:$D$41,2,FALSE),"Merchant not found")</f>
        <v>Merchant_005</v>
      </c>
      <c r="J310" t="str">
        <f>_xlfn.IFNA(VLOOKUP(C310,merchants!$A$2:$D$41,3,FALSE),"Merchant not found")</f>
        <v>recharge</v>
      </c>
      <c r="K310" t="str">
        <f>_xlfn.IFNA(VLOOKUP(C310,merchants!$A$2:$D$41,4,FALSE),"Merchant not found")</f>
        <v>South</v>
      </c>
      <c r="L310" s="2">
        <f>HLOOKUP(F310,Fees!$B$1:$E$2,2,FALSE)</f>
        <v>0</v>
      </c>
    </row>
    <row r="311" spans="1:12" x14ac:dyDescent="0.3">
      <c r="A311" t="s">
        <v>324</v>
      </c>
      <c r="B311">
        <v>204</v>
      </c>
      <c r="C311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  <c r="I311" t="str">
        <f>_xlfn.IFNA(VLOOKUP(C311,merchants!$A$2:$D$41,2,FALSE),"Merchant not found")</f>
        <v>Merchant_021</v>
      </c>
      <c r="J311" t="str">
        <f>_xlfn.IFNA(VLOOKUP(C311,merchants!$A$2:$D$41,3,FALSE),"Merchant not found")</f>
        <v>food_delivery</v>
      </c>
      <c r="K311" t="str">
        <f>_xlfn.IFNA(VLOOKUP(C311,merchants!$A$2:$D$41,4,FALSE),"Merchant not found")</f>
        <v>East</v>
      </c>
      <c r="L311" s="2">
        <f>HLOOKUP(F311,Fees!$B$1:$E$2,2,FALSE)</f>
        <v>0</v>
      </c>
    </row>
    <row r="312" spans="1:12" x14ac:dyDescent="0.3">
      <c r="A312" t="s">
        <v>325</v>
      </c>
      <c r="B312">
        <v>14</v>
      </c>
      <c r="C31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  <c r="I312" t="str">
        <f>_xlfn.IFNA(VLOOKUP(C312,merchants!$A$2:$D$41,2,FALSE),"Merchant not found")</f>
        <v>Merchant_012</v>
      </c>
      <c r="J312" t="str">
        <f>_xlfn.IFNA(VLOOKUP(C312,merchants!$A$2:$D$41,3,FALSE),"Merchant not found")</f>
        <v>ecommerce</v>
      </c>
      <c r="K312" t="str">
        <f>_xlfn.IFNA(VLOOKUP(C312,merchants!$A$2:$D$41,4,FALSE),"Merchant not found")</f>
        <v>East</v>
      </c>
      <c r="L312" s="2">
        <f>HLOOKUP(F312,Fees!$B$1:$E$2,2,FALSE)</f>
        <v>0.01</v>
      </c>
    </row>
    <row r="313" spans="1:12" x14ac:dyDescent="0.3">
      <c r="A313" t="s">
        <v>326</v>
      </c>
      <c r="B313">
        <v>288</v>
      </c>
      <c r="C313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  <c r="I313" t="str">
        <f>_xlfn.IFNA(VLOOKUP(C313,merchants!$A$2:$D$41,2,FALSE),"Merchant not found")</f>
        <v>Merchant_008</v>
      </c>
      <c r="J313" t="str">
        <f>_xlfn.IFNA(VLOOKUP(C313,merchants!$A$2:$D$41,3,FALSE),"Merchant not found")</f>
        <v>food_delivery</v>
      </c>
      <c r="K313" t="str">
        <f>_xlfn.IFNA(VLOOKUP(C313,merchants!$A$2:$D$41,4,FALSE),"Merchant not found")</f>
        <v>North</v>
      </c>
      <c r="L313" s="2">
        <f>HLOOKUP(F313,Fees!$B$1:$E$2,2,FALSE)</f>
        <v>0</v>
      </c>
    </row>
    <row r="314" spans="1:12" x14ac:dyDescent="0.3">
      <c r="A314" t="s">
        <v>327</v>
      </c>
      <c r="B314">
        <v>229</v>
      </c>
      <c r="C314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  <c r="I314" t="str">
        <f>_xlfn.IFNA(VLOOKUP(C314,merchants!$A$2:$D$41,2,FALSE),"Merchant not found")</f>
        <v>Merchant_014</v>
      </c>
      <c r="J314" t="str">
        <f>_xlfn.IFNA(VLOOKUP(C314,merchants!$A$2:$D$41,3,FALSE),"Merchant not found")</f>
        <v>grocery</v>
      </c>
      <c r="K314" t="str">
        <f>_xlfn.IFNA(VLOOKUP(C314,merchants!$A$2:$D$41,4,FALSE),"Merchant not found")</f>
        <v>East</v>
      </c>
      <c r="L314" s="2">
        <f>HLOOKUP(F314,Fees!$B$1:$E$2,2,FALSE)</f>
        <v>0</v>
      </c>
    </row>
    <row r="315" spans="1:12" x14ac:dyDescent="0.3">
      <c r="A315" t="s">
        <v>328</v>
      </c>
      <c r="B315">
        <v>252</v>
      </c>
      <c r="C315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  <c r="I315" t="str">
        <f>_xlfn.IFNA(VLOOKUP(C315,merchants!$A$2:$D$41,2,FALSE),"Merchant not found")</f>
        <v>Merchant_013</v>
      </c>
      <c r="J315" t="str">
        <f>_xlfn.IFNA(VLOOKUP(C315,merchants!$A$2:$D$41,3,FALSE),"Merchant not found")</f>
        <v>travel</v>
      </c>
      <c r="K315" t="str">
        <f>_xlfn.IFNA(VLOOKUP(C315,merchants!$A$2:$D$41,4,FALSE),"Merchant not found")</f>
        <v>East</v>
      </c>
      <c r="L315" s="2">
        <f>HLOOKUP(F315,Fees!$B$1:$E$2,2,FALSE)</f>
        <v>1.4999999999999999E-2</v>
      </c>
    </row>
    <row r="316" spans="1:12" x14ac:dyDescent="0.3">
      <c r="A316" t="s">
        <v>329</v>
      </c>
      <c r="B316">
        <v>89</v>
      </c>
      <c r="C316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  <c r="I316" t="str">
        <f>_xlfn.IFNA(VLOOKUP(C316,merchants!$A$2:$D$41,2,FALSE),"Merchant not found")</f>
        <v>Merchant_029</v>
      </c>
      <c r="J316" t="str">
        <f>_xlfn.IFNA(VLOOKUP(C316,merchants!$A$2:$D$41,3,FALSE),"Merchant not found")</f>
        <v>ecommerce</v>
      </c>
      <c r="K316" t="str">
        <f>_xlfn.IFNA(VLOOKUP(C316,merchants!$A$2:$D$41,4,FALSE),"Merchant not found")</f>
        <v>North</v>
      </c>
      <c r="L316" s="2">
        <f>HLOOKUP(F316,Fees!$B$1:$E$2,2,FALSE)</f>
        <v>0</v>
      </c>
    </row>
    <row r="317" spans="1:12" x14ac:dyDescent="0.3">
      <c r="A317" t="s">
        <v>330</v>
      </c>
      <c r="B317">
        <v>164</v>
      </c>
      <c r="C317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  <c r="I317" t="str">
        <f>_xlfn.IFNA(VLOOKUP(C317,merchants!$A$2:$D$41,2,FALSE),"Merchant not found")</f>
        <v>Merchant_023</v>
      </c>
      <c r="J317" t="str">
        <f>_xlfn.IFNA(VLOOKUP(C317,merchants!$A$2:$D$41,3,FALSE),"Merchant not found")</f>
        <v>travel</v>
      </c>
      <c r="K317" t="str">
        <f>_xlfn.IFNA(VLOOKUP(C317,merchants!$A$2:$D$41,4,FALSE),"Merchant not found")</f>
        <v>North</v>
      </c>
      <c r="L317" s="2">
        <f>HLOOKUP(F317,Fees!$B$1:$E$2,2,FALSE)</f>
        <v>0.01</v>
      </c>
    </row>
    <row r="318" spans="1:12" x14ac:dyDescent="0.3">
      <c r="A318" t="s">
        <v>331</v>
      </c>
      <c r="B318">
        <v>149</v>
      </c>
      <c r="C318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  <c r="I318" t="str">
        <f>_xlfn.IFNA(VLOOKUP(C318,merchants!$A$2:$D$41,2,FALSE),"Merchant not found")</f>
        <v>Merchant_020</v>
      </c>
      <c r="J318" t="str">
        <f>_xlfn.IFNA(VLOOKUP(C318,merchants!$A$2:$D$41,3,FALSE),"Merchant not found")</f>
        <v>food_delivery</v>
      </c>
      <c r="K318" t="str">
        <f>_xlfn.IFNA(VLOOKUP(C318,merchants!$A$2:$D$41,4,FALSE),"Merchant not found")</f>
        <v>East</v>
      </c>
      <c r="L318" s="2">
        <f>HLOOKUP(F318,Fees!$B$1:$E$2,2,FALSE)</f>
        <v>1.4999999999999999E-2</v>
      </c>
    </row>
    <row r="319" spans="1:12" x14ac:dyDescent="0.3">
      <c r="A319" t="s">
        <v>332</v>
      </c>
      <c r="B319">
        <v>327</v>
      </c>
      <c r="C319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  <c r="I319" t="str">
        <f>_xlfn.IFNA(VLOOKUP(C319,merchants!$A$2:$D$41,2,FALSE),"Merchant not found")</f>
        <v>Merchant_012</v>
      </c>
      <c r="J319" t="str">
        <f>_xlfn.IFNA(VLOOKUP(C319,merchants!$A$2:$D$41,3,FALSE),"Merchant not found")</f>
        <v>ecommerce</v>
      </c>
      <c r="K319" t="str">
        <f>_xlfn.IFNA(VLOOKUP(C319,merchants!$A$2:$D$41,4,FALSE),"Merchant not found")</f>
        <v>East</v>
      </c>
      <c r="L319" s="2">
        <f>HLOOKUP(F319,Fees!$B$1:$E$2,2,FALSE)</f>
        <v>0.01</v>
      </c>
    </row>
    <row r="320" spans="1:12" x14ac:dyDescent="0.3">
      <c r="A320" t="s">
        <v>333</v>
      </c>
      <c r="B320">
        <v>103</v>
      </c>
      <c r="C320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  <c r="I320" t="str">
        <f>_xlfn.IFNA(VLOOKUP(C320,merchants!$A$2:$D$41,2,FALSE),"Merchant not found")</f>
        <v>Merchant_009</v>
      </c>
      <c r="J320" t="str">
        <f>_xlfn.IFNA(VLOOKUP(C320,merchants!$A$2:$D$41,3,FALSE),"Merchant not found")</f>
        <v>ecommerce</v>
      </c>
      <c r="K320" t="str">
        <f>_xlfn.IFNA(VLOOKUP(C320,merchants!$A$2:$D$41,4,FALSE),"Merchant not found")</f>
        <v>North</v>
      </c>
      <c r="L320" s="2">
        <f>HLOOKUP(F320,Fees!$B$1:$E$2,2,FALSE)</f>
        <v>0</v>
      </c>
    </row>
    <row r="321" spans="1:12" x14ac:dyDescent="0.3">
      <c r="A321" t="s">
        <v>334</v>
      </c>
      <c r="B321">
        <v>185</v>
      </c>
      <c r="C321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  <c r="I321" t="str">
        <f>_xlfn.IFNA(VLOOKUP(C321,merchants!$A$2:$D$41,2,FALSE),"Merchant not found")</f>
        <v>Merchant_036</v>
      </c>
      <c r="J321" t="str">
        <f>_xlfn.IFNA(VLOOKUP(C321,merchants!$A$2:$D$41,3,FALSE),"Merchant not found")</f>
        <v>entertainment</v>
      </c>
      <c r="K321" t="str">
        <f>_xlfn.IFNA(VLOOKUP(C321,merchants!$A$2:$D$41,4,FALSE),"Merchant not found")</f>
        <v>East</v>
      </c>
      <c r="L321" s="2">
        <f>HLOOKUP(F321,Fees!$B$1:$E$2,2,FALSE)</f>
        <v>1.4999999999999999E-2</v>
      </c>
    </row>
    <row r="322" spans="1:12" x14ac:dyDescent="0.3">
      <c r="A322" t="s">
        <v>335</v>
      </c>
      <c r="B322">
        <v>283</v>
      </c>
      <c r="C32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  <c r="I322" t="str">
        <f>_xlfn.IFNA(VLOOKUP(C322,merchants!$A$2:$D$41,2,FALSE),"Merchant not found")</f>
        <v>Merchant_009</v>
      </c>
      <c r="J322" t="str">
        <f>_xlfn.IFNA(VLOOKUP(C322,merchants!$A$2:$D$41,3,FALSE),"Merchant not found")</f>
        <v>ecommerce</v>
      </c>
      <c r="K322" t="str">
        <f>_xlfn.IFNA(VLOOKUP(C322,merchants!$A$2:$D$41,4,FALSE),"Merchant not found")</f>
        <v>North</v>
      </c>
      <c r="L322" s="2">
        <f>HLOOKUP(F322,Fees!$B$1:$E$2,2,FALSE)</f>
        <v>0</v>
      </c>
    </row>
    <row r="323" spans="1:12" x14ac:dyDescent="0.3">
      <c r="A323" t="s">
        <v>336</v>
      </c>
      <c r="B323">
        <v>159</v>
      </c>
      <c r="C323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  <c r="I323" t="str">
        <f>_xlfn.IFNA(VLOOKUP(C323,merchants!$A$2:$D$41,2,FALSE),"Merchant not found")</f>
        <v>Merchant_026</v>
      </c>
      <c r="J323" t="str">
        <f>_xlfn.IFNA(VLOOKUP(C323,merchants!$A$2:$D$41,3,FALSE),"Merchant not found")</f>
        <v>food_delivery</v>
      </c>
      <c r="K323" t="str">
        <f>_xlfn.IFNA(VLOOKUP(C323,merchants!$A$2:$D$41,4,FALSE),"Merchant not found")</f>
        <v>East</v>
      </c>
      <c r="L323" s="2">
        <f>HLOOKUP(F323,Fees!$B$1:$E$2,2,FALSE)</f>
        <v>0</v>
      </c>
    </row>
    <row r="324" spans="1:12" x14ac:dyDescent="0.3">
      <c r="A324" t="s">
        <v>337</v>
      </c>
      <c r="B324">
        <v>211</v>
      </c>
      <c r="C324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  <c r="I324" t="str">
        <f>_xlfn.IFNA(VLOOKUP(C324,merchants!$A$2:$D$41,2,FALSE),"Merchant not found")</f>
        <v>Merchant_027</v>
      </c>
      <c r="J324" t="str">
        <f>_xlfn.IFNA(VLOOKUP(C324,merchants!$A$2:$D$41,3,FALSE),"Merchant not found")</f>
        <v>ecommerce</v>
      </c>
      <c r="K324" t="str">
        <f>_xlfn.IFNA(VLOOKUP(C324,merchants!$A$2:$D$41,4,FALSE),"Merchant not found")</f>
        <v>North</v>
      </c>
      <c r="L324" s="2">
        <f>HLOOKUP(F324,Fees!$B$1:$E$2,2,FALSE)</f>
        <v>1.4999999999999999E-2</v>
      </c>
    </row>
    <row r="325" spans="1:12" x14ac:dyDescent="0.3">
      <c r="A325" t="s">
        <v>338</v>
      </c>
      <c r="B325">
        <v>329</v>
      </c>
      <c r="C325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  <c r="I325" t="str">
        <f>_xlfn.IFNA(VLOOKUP(C325,merchants!$A$2:$D$41,2,FALSE),"Merchant not found")</f>
        <v>Merchant_005</v>
      </c>
      <c r="J325" t="str">
        <f>_xlfn.IFNA(VLOOKUP(C325,merchants!$A$2:$D$41,3,FALSE),"Merchant not found")</f>
        <v>recharge</v>
      </c>
      <c r="K325" t="str">
        <f>_xlfn.IFNA(VLOOKUP(C325,merchants!$A$2:$D$41,4,FALSE),"Merchant not found")</f>
        <v>South</v>
      </c>
      <c r="L325" s="2">
        <f>HLOOKUP(F325,Fees!$B$1:$E$2,2,FALSE)</f>
        <v>0.01</v>
      </c>
    </row>
    <row r="326" spans="1:12" x14ac:dyDescent="0.3">
      <c r="A326" t="s">
        <v>339</v>
      </c>
      <c r="B326">
        <v>177</v>
      </c>
      <c r="C326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  <c r="I326" t="str">
        <f>_xlfn.IFNA(VLOOKUP(C326,merchants!$A$2:$D$41,2,FALSE),"Merchant not found")</f>
        <v>Merchant_009</v>
      </c>
      <c r="J326" t="str">
        <f>_xlfn.IFNA(VLOOKUP(C326,merchants!$A$2:$D$41,3,FALSE),"Merchant not found")</f>
        <v>ecommerce</v>
      </c>
      <c r="K326" t="str">
        <f>_xlfn.IFNA(VLOOKUP(C326,merchants!$A$2:$D$41,4,FALSE),"Merchant not found")</f>
        <v>North</v>
      </c>
      <c r="L326" s="2">
        <f>HLOOKUP(F326,Fees!$B$1:$E$2,2,FALSE)</f>
        <v>0</v>
      </c>
    </row>
    <row r="327" spans="1:12" x14ac:dyDescent="0.3">
      <c r="A327" t="s">
        <v>340</v>
      </c>
      <c r="B327">
        <v>94</v>
      </c>
      <c r="C327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  <c r="I327" t="str">
        <f>_xlfn.IFNA(VLOOKUP(C327,merchants!$A$2:$D$41,2,FALSE),"Merchant not found")</f>
        <v>Merchant_009</v>
      </c>
      <c r="J327" t="str">
        <f>_xlfn.IFNA(VLOOKUP(C327,merchants!$A$2:$D$41,3,FALSE),"Merchant not found")</f>
        <v>ecommerce</v>
      </c>
      <c r="K327" t="str">
        <f>_xlfn.IFNA(VLOOKUP(C327,merchants!$A$2:$D$41,4,FALSE),"Merchant not found")</f>
        <v>North</v>
      </c>
      <c r="L327" s="2">
        <f>HLOOKUP(F327,Fees!$B$1:$E$2,2,FALSE)</f>
        <v>0</v>
      </c>
    </row>
    <row r="328" spans="1:12" x14ac:dyDescent="0.3">
      <c r="A328" t="s">
        <v>341</v>
      </c>
      <c r="B328">
        <v>64</v>
      </c>
      <c r="C328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  <c r="I328" t="str">
        <f>_xlfn.IFNA(VLOOKUP(C328,merchants!$A$2:$D$41,2,FALSE),"Merchant not found")</f>
        <v>Merchant_034</v>
      </c>
      <c r="J328" t="str">
        <f>_xlfn.IFNA(VLOOKUP(C328,merchants!$A$2:$D$41,3,FALSE),"Merchant not found")</f>
        <v>travel</v>
      </c>
      <c r="K328" t="str">
        <f>_xlfn.IFNA(VLOOKUP(C328,merchants!$A$2:$D$41,4,FALSE),"Merchant not found")</f>
        <v>South</v>
      </c>
      <c r="L328" s="2">
        <f>HLOOKUP(F328,Fees!$B$1:$E$2,2,FALSE)</f>
        <v>0</v>
      </c>
    </row>
    <row r="329" spans="1:12" x14ac:dyDescent="0.3">
      <c r="A329" t="s">
        <v>342</v>
      </c>
      <c r="B329">
        <v>166</v>
      </c>
      <c r="C329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  <c r="I329" t="str">
        <f>_xlfn.IFNA(VLOOKUP(C329,merchants!$A$2:$D$41,2,FALSE),"Merchant not found")</f>
        <v>Merchant_015</v>
      </c>
      <c r="J329" t="str">
        <f>_xlfn.IFNA(VLOOKUP(C329,merchants!$A$2:$D$41,3,FALSE),"Merchant not found")</f>
        <v>travel</v>
      </c>
      <c r="K329" t="str">
        <f>_xlfn.IFNA(VLOOKUP(C329,merchants!$A$2:$D$41,4,FALSE),"Merchant not found")</f>
        <v>North</v>
      </c>
      <c r="L329" s="2">
        <f>HLOOKUP(F329,Fees!$B$1:$E$2,2,FALSE)</f>
        <v>0</v>
      </c>
    </row>
    <row r="330" spans="1:12" x14ac:dyDescent="0.3">
      <c r="A330" t="s">
        <v>343</v>
      </c>
      <c r="B330">
        <v>41</v>
      </c>
      <c r="C330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  <c r="I330" t="str">
        <f>_xlfn.IFNA(VLOOKUP(C330,merchants!$A$2:$D$41,2,FALSE),"Merchant not found")</f>
        <v>Merchant_017</v>
      </c>
      <c r="J330" t="str">
        <f>_xlfn.IFNA(VLOOKUP(C330,merchants!$A$2:$D$41,3,FALSE),"Merchant not found")</f>
        <v>grocery</v>
      </c>
      <c r="K330" t="str">
        <f>_xlfn.IFNA(VLOOKUP(C330,merchants!$A$2:$D$41,4,FALSE),"Merchant not found")</f>
        <v>North</v>
      </c>
      <c r="L330" s="2">
        <f>HLOOKUP(F330,Fees!$B$1:$E$2,2,FALSE)</f>
        <v>1.4999999999999999E-2</v>
      </c>
    </row>
    <row r="331" spans="1:12" x14ac:dyDescent="0.3">
      <c r="A331" t="s">
        <v>344</v>
      </c>
      <c r="B331">
        <v>65</v>
      </c>
      <c r="C331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  <c r="I331" t="str">
        <f>_xlfn.IFNA(VLOOKUP(C331,merchants!$A$2:$D$41,2,FALSE),"Merchant not found")</f>
        <v>Merchant_020</v>
      </c>
      <c r="J331" t="str">
        <f>_xlfn.IFNA(VLOOKUP(C331,merchants!$A$2:$D$41,3,FALSE),"Merchant not found")</f>
        <v>food_delivery</v>
      </c>
      <c r="K331" t="str">
        <f>_xlfn.IFNA(VLOOKUP(C331,merchants!$A$2:$D$41,4,FALSE),"Merchant not found")</f>
        <v>East</v>
      </c>
      <c r="L331" s="2">
        <f>HLOOKUP(F331,Fees!$B$1:$E$2,2,FALSE)</f>
        <v>0.02</v>
      </c>
    </row>
    <row r="332" spans="1:12" x14ac:dyDescent="0.3">
      <c r="A332" t="s">
        <v>345</v>
      </c>
      <c r="B332">
        <v>329</v>
      </c>
      <c r="C33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  <c r="I332" t="str">
        <f>_xlfn.IFNA(VLOOKUP(C332,merchants!$A$2:$D$41,2,FALSE),"Merchant not found")</f>
        <v>Merchant_011</v>
      </c>
      <c r="J332" t="str">
        <f>_xlfn.IFNA(VLOOKUP(C332,merchants!$A$2:$D$41,3,FALSE),"Merchant not found")</f>
        <v>ecommerce</v>
      </c>
      <c r="K332" t="str">
        <f>_xlfn.IFNA(VLOOKUP(C332,merchants!$A$2:$D$41,4,FALSE),"Merchant not found")</f>
        <v>North</v>
      </c>
      <c r="L332" s="2">
        <f>HLOOKUP(F332,Fees!$B$1:$E$2,2,FALSE)</f>
        <v>0</v>
      </c>
    </row>
    <row r="333" spans="1:12" x14ac:dyDescent="0.3">
      <c r="A333" t="s">
        <v>346</v>
      </c>
      <c r="B333">
        <v>338</v>
      </c>
      <c r="C333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  <c r="I333" t="str">
        <f>_xlfn.IFNA(VLOOKUP(C333,merchants!$A$2:$D$41,2,FALSE),"Merchant not found")</f>
        <v>Merchant_040</v>
      </c>
      <c r="J333" t="str">
        <f>_xlfn.IFNA(VLOOKUP(C333,merchants!$A$2:$D$41,3,FALSE),"Merchant not found")</f>
        <v>entertainment</v>
      </c>
      <c r="K333" t="str">
        <f>_xlfn.IFNA(VLOOKUP(C333,merchants!$A$2:$D$41,4,FALSE),"Merchant not found")</f>
        <v>South</v>
      </c>
      <c r="L333" s="2">
        <f>HLOOKUP(F333,Fees!$B$1:$E$2,2,FALSE)</f>
        <v>0</v>
      </c>
    </row>
    <row r="334" spans="1:12" x14ac:dyDescent="0.3">
      <c r="A334" t="s">
        <v>347</v>
      </c>
      <c r="B334">
        <v>289</v>
      </c>
      <c r="C334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  <c r="I334" t="str">
        <f>_xlfn.IFNA(VLOOKUP(C334,merchants!$A$2:$D$41,2,FALSE),"Merchant not found")</f>
        <v>Merchant_003</v>
      </c>
      <c r="J334" t="str">
        <f>_xlfn.IFNA(VLOOKUP(C334,merchants!$A$2:$D$41,3,FALSE),"Merchant not found")</f>
        <v>grocery</v>
      </c>
      <c r="K334" t="str">
        <f>_xlfn.IFNA(VLOOKUP(C334,merchants!$A$2:$D$41,4,FALSE),"Merchant not found")</f>
        <v>East</v>
      </c>
      <c r="L334" s="2">
        <f>HLOOKUP(F334,Fees!$B$1:$E$2,2,FALSE)</f>
        <v>0.01</v>
      </c>
    </row>
    <row r="335" spans="1:12" x14ac:dyDescent="0.3">
      <c r="A335" t="s">
        <v>348</v>
      </c>
      <c r="B335">
        <v>296</v>
      </c>
      <c r="C335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  <c r="I335" t="str">
        <f>_xlfn.IFNA(VLOOKUP(C335,merchants!$A$2:$D$41,2,FALSE),"Merchant not found")</f>
        <v>Merchant_017</v>
      </c>
      <c r="J335" t="str">
        <f>_xlfn.IFNA(VLOOKUP(C335,merchants!$A$2:$D$41,3,FALSE),"Merchant not found")</f>
        <v>grocery</v>
      </c>
      <c r="K335" t="str">
        <f>_xlfn.IFNA(VLOOKUP(C335,merchants!$A$2:$D$41,4,FALSE),"Merchant not found")</f>
        <v>North</v>
      </c>
      <c r="L335" s="2">
        <f>HLOOKUP(F335,Fees!$B$1:$E$2,2,FALSE)</f>
        <v>0</v>
      </c>
    </row>
    <row r="336" spans="1:12" x14ac:dyDescent="0.3">
      <c r="A336" t="s">
        <v>349</v>
      </c>
      <c r="B336">
        <v>317</v>
      </c>
      <c r="C336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  <c r="I336" t="str">
        <f>_xlfn.IFNA(VLOOKUP(C336,merchants!$A$2:$D$41,2,FALSE),"Merchant not found")</f>
        <v>Merchant_002</v>
      </c>
      <c r="J336" t="str">
        <f>_xlfn.IFNA(VLOOKUP(C336,merchants!$A$2:$D$41,3,FALSE),"Merchant not found")</f>
        <v>grocery</v>
      </c>
      <c r="K336" t="str">
        <f>_xlfn.IFNA(VLOOKUP(C336,merchants!$A$2:$D$41,4,FALSE),"Merchant not found")</f>
        <v>West</v>
      </c>
      <c r="L336" s="2">
        <f>HLOOKUP(F336,Fees!$B$1:$E$2,2,FALSE)</f>
        <v>0.02</v>
      </c>
    </row>
    <row r="337" spans="1:12" x14ac:dyDescent="0.3">
      <c r="A337" t="s">
        <v>350</v>
      </c>
      <c r="B337">
        <v>149</v>
      </c>
      <c r="C337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  <c r="I337" t="str">
        <f>_xlfn.IFNA(VLOOKUP(C337,merchants!$A$2:$D$41,2,FALSE),"Merchant not found")</f>
        <v>Merchant_020</v>
      </c>
      <c r="J337" t="str">
        <f>_xlfn.IFNA(VLOOKUP(C337,merchants!$A$2:$D$41,3,FALSE),"Merchant not found")</f>
        <v>food_delivery</v>
      </c>
      <c r="K337" t="str">
        <f>_xlfn.IFNA(VLOOKUP(C337,merchants!$A$2:$D$41,4,FALSE),"Merchant not found")</f>
        <v>East</v>
      </c>
      <c r="L337" s="2">
        <f>HLOOKUP(F337,Fees!$B$1:$E$2,2,FALSE)</f>
        <v>0.02</v>
      </c>
    </row>
    <row r="338" spans="1:12" x14ac:dyDescent="0.3">
      <c r="A338" t="s">
        <v>351</v>
      </c>
      <c r="B338">
        <v>153</v>
      </c>
      <c r="C338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  <c r="I338" t="str">
        <f>_xlfn.IFNA(VLOOKUP(C338,merchants!$A$2:$D$41,2,FALSE),"Merchant not found")</f>
        <v>Merchant_030</v>
      </c>
      <c r="J338" t="str">
        <f>_xlfn.IFNA(VLOOKUP(C338,merchants!$A$2:$D$41,3,FALSE),"Merchant not found")</f>
        <v>travel</v>
      </c>
      <c r="K338" t="str">
        <f>_xlfn.IFNA(VLOOKUP(C338,merchants!$A$2:$D$41,4,FALSE),"Merchant not found")</f>
        <v>West</v>
      </c>
      <c r="L338" s="2">
        <f>HLOOKUP(F338,Fees!$B$1:$E$2,2,FALSE)</f>
        <v>0</v>
      </c>
    </row>
    <row r="339" spans="1:12" x14ac:dyDescent="0.3">
      <c r="A339" t="s">
        <v>352</v>
      </c>
      <c r="B339">
        <v>226</v>
      </c>
      <c r="C339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  <c r="I339" t="str">
        <f>_xlfn.IFNA(VLOOKUP(C339,merchants!$A$2:$D$41,2,FALSE),"Merchant not found")</f>
        <v>Merchant_027</v>
      </c>
      <c r="J339" t="str">
        <f>_xlfn.IFNA(VLOOKUP(C339,merchants!$A$2:$D$41,3,FALSE),"Merchant not found")</f>
        <v>ecommerce</v>
      </c>
      <c r="K339" t="str">
        <f>_xlfn.IFNA(VLOOKUP(C339,merchants!$A$2:$D$41,4,FALSE),"Merchant not found")</f>
        <v>North</v>
      </c>
      <c r="L339" s="2">
        <f>HLOOKUP(F339,Fees!$B$1:$E$2,2,FALSE)</f>
        <v>0</v>
      </c>
    </row>
    <row r="340" spans="1:12" x14ac:dyDescent="0.3">
      <c r="A340" t="s">
        <v>353</v>
      </c>
      <c r="B340">
        <v>311</v>
      </c>
      <c r="C340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  <c r="I340" t="str">
        <f>_xlfn.IFNA(VLOOKUP(C340,merchants!$A$2:$D$41,2,FALSE),"Merchant not found")</f>
        <v>Merchant_010</v>
      </c>
      <c r="J340" t="str">
        <f>_xlfn.IFNA(VLOOKUP(C340,merchants!$A$2:$D$41,3,FALSE),"Merchant not found")</f>
        <v>grocery</v>
      </c>
      <c r="K340" t="str">
        <f>_xlfn.IFNA(VLOOKUP(C340,merchants!$A$2:$D$41,4,FALSE),"Merchant not found")</f>
        <v>West</v>
      </c>
      <c r="L340" s="2">
        <f>HLOOKUP(F340,Fees!$B$1:$E$2,2,FALSE)</f>
        <v>0</v>
      </c>
    </row>
    <row r="341" spans="1:12" x14ac:dyDescent="0.3">
      <c r="A341" t="s">
        <v>354</v>
      </c>
      <c r="B341">
        <v>177</v>
      </c>
      <c r="C341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  <c r="I341" t="str">
        <f>_xlfn.IFNA(VLOOKUP(C341,merchants!$A$2:$D$41,2,FALSE),"Merchant not found")</f>
        <v>Merchant_026</v>
      </c>
      <c r="J341" t="str">
        <f>_xlfn.IFNA(VLOOKUP(C341,merchants!$A$2:$D$41,3,FALSE),"Merchant not found")</f>
        <v>food_delivery</v>
      </c>
      <c r="K341" t="str">
        <f>_xlfn.IFNA(VLOOKUP(C341,merchants!$A$2:$D$41,4,FALSE),"Merchant not found")</f>
        <v>East</v>
      </c>
      <c r="L341" s="2">
        <f>HLOOKUP(F341,Fees!$B$1:$E$2,2,FALSE)</f>
        <v>0</v>
      </c>
    </row>
    <row r="342" spans="1:12" x14ac:dyDescent="0.3">
      <c r="A342" t="s">
        <v>355</v>
      </c>
      <c r="B342">
        <v>288</v>
      </c>
      <c r="C34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  <c r="I342" t="str">
        <f>_xlfn.IFNA(VLOOKUP(C342,merchants!$A$2:$D$41,2,FALSE),"Merchant not found")</f>
        <v>Merchant_007</v>
      </c>
      <c r="J342" t="str">
        <f>_xlfn.IFNA(VLOOKUP(C342,merchants!$A$2:$D$41,3,FALSE),"Merchant not found")</f>
        <v>food_delivery</v>
      </c>
      <c r="K342" t="str">
        <f>_xlfn.IFNA(VLOOKUP(C342,merchants!$A$2:$D$41,4,FALSE),"Merchant not found")</f>
        <v>East</v>
      </c>
      <c r="L342" s="2">
        <f>HLOOKUP(F342,Fees!$B$1:$E$2,2,FALSE)</f>
        <v>0.01</v>
      </c>
    </row>
    <row r="343" spans="1:12" x14ac:dyDescent="0.3">
      <c r="A343" t="s">
        <v>356</v>
      </c>
      <c r="B343">
        <v>137</v>
      </c>
      <c r="C343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  <c r="I343" t="str">
        <f>_xlfn.IFNA(VLOOKUP(C343,merchants!$A$2:$D$41,2,FALSE),"Merchant not found")</f>
        <v>Merchant_029</v>
      </c>
      <c r="J343" t="str">
        <f>_xlfn.IFNA(VLOOKUP(C343,merchants!$A$2:$D$41,3,FALSE),"Merchant not found")</f>
        <v>ecommerce</v>
      </c>
      <c r="K343" t="str">
        <f>_xlfn.IFNA(VLOOKUP(C343,merchants!$A$2:$D$41,4,FALSE),"Merchant not found")</f>
        <v>North</v>
      </c>
      <c r="L343" s="2">
        <f>HLOOKUP(F343,Fees!$B$1:$E$2,2,FALSE)</f>
        <v>0</v>
      </c>
    </row>
    <row r="344" spans="1:12" x14ac:dyDescent="0.3">
      <c r="A344" t="s">
        <v>357</v>
      </c>
      <c r="B344">
        <v>149</v>
      </c>
      <c r="C344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  <c r="I344" t="str">
        <f>_xlfn.IFNA(VLOOKUP(C344,merchants!$A$2:$D$41,2,FALSE),"Merchant not found")</f>
        <v>Merchant_025</v>
      </c>
      <c r="J344" t="str">
        <f>_xlfn.IFNA(VLOOKUP(C344,merchants!$A$2:$D$41,3,FALSE),"Merchant not found")</f>
        <v>travel</v>
      </c>
      <c r="K344" t="str">
        <f>_xlfn.IFNA(VLOOKUP(C344,merchants!$A$2:$D$41,4,FALSE),"Merchant not found")</f>
        <v>South</v>
      </c>
      <c r="L344" s="2">
        <f>HLOOKUP(F344,Fees!$B$1:$E$2,2,FALSE)</f>
        <v>0</v>
      </c>
    </row>
    <row r="345" spans="1:12" x14ac:dyDescent="0.3">
      <c r="A345" t="s">
        <v>358</v>
      </c>
      <c r="B345">
        <v>82</v>
      </c>
      <c r="C345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  <c r="I345" t="str">
        <f>_xlfn.IFNA(VLOOKUP(C345,merchants!$A$2:$D$41,2,FALSE),"Merchant not found")</f>
        <v>Merchant_021</v>
      </c>
      <c r="J345" t="str">
        <f>_xlfn.IFNA(VLOOKUP(C345,merchants!$A$2:$D$41,3,FALSE),"Merchant not found")</f>
        <v>food_delivery</v>
      </c>
      <c r="K345" t="str">
        <f>_xlfn.IFNA(VLOOKUP(C345,merchants!$A$2:$D$41,4,FALSE),"Merchant not found")</f>
        <v>East</v>
      </c>
      <c r="L345" s="2">
        <f>HLOOKUP(F345,Fees!$B$1:$E$2,2,FALSE)</f>
        <v>1.4999999999999999E-2</v>
      </c>
    </row>
    <row r="346" spans="1:12" x14ac:dyDescent="0.3">
      <c r="A346" t="s">
        <v>359</v>
      </c>
      <c r="B346">
        <v>82</v>
      </c>
      <c r="C346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  <c r="I346" t="str">
        <f>_xlfn.IFNA(VLOOKUP(C346,merchants!$A$2:$D$41,2,FALSE),"Merchant not found")</f>
        <v>Merchant_032</v>
      </c>
      <c r="J346" t="str">
        <f>_xlfn.IFNA(VLOOKUP(C346,merchants!$A$2:$D$41,3,FALSE),"Merchant not found")</f>
        <v>food_delivery</v>
      </c>
      <c r="K346" t="str">
        <f>_xlfn.IFNA(VLOOKUP(C346,merchants!$A$2:$D$41,4,FALSE),"Merchant not found")</f>
        <v>West</v>
      </c>
      <c r="L346" s="2">
        <f>HLOOKUP(F346,Fees!$B$1:$E$2,2,FALSE)</f>
        <v>0</v>
      </c>
    </row>
    <row r="347" spans="1:12" x14ac:dyDescent="0.3">
      <c r="A347" t="s">
        <v>360</v>
      </c>
      <c r="B347">
        <v>158</v>
      </c>
      <c r="C347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  <c r="I347" t="str">
        <f>_xlfn.IFNA(VLOOKUP(C347,merchants!$A$2:$D$41,2,FALSE),"Merchant not found")</f>
        <v>Merchant_032</v>
      </c>
      <c r="J347" t="str">
        <f>_xlfn.IFNA(VLOOKUP(C347,merchants!$A$2:$D$41,3,FALSE),"Merchant not found")</f>
        <v>food_delivery</v>
      </c>
      <c r="K347" t="str">
        <f>_xlfn.IFNA(VLOOKUP(C347,merchants!$A$2:$D$41,4,FALSE),"Merchant not found")</f>
        <v>West</v>
      </c>
      <c r="L347" s="2">
        <f>HLOOKUP(F347,Fees!$B$1:$E$2,2,FALSE)</f>
        <v>1.4999999999999999E-2</v>
      </c>
    </row>
    <row r="348" spans="1:12" x14ac:dyDescent="0.3">
      <c r="A348" t="s">
        <v>361</v>
      </c>
      <c r="B348">
        <v>235</v>
      </c>
      <c r="C348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  <c r="I348" t="str">
        <f>_xlfn.IFNA(VLOOKUP(C348,merchants!$A$2:$D$41,2,FALSE),"Merchant not found")</f>
        <v>Merchant_016</v>
      </c>
      <c r="J348" t="str">
        <f>_xlfn.IFNA(VLOOKUP(C348,merchants!$A$2:$D$41,3,FALSE),"Merchant not found")</f>
        <v>bill_payment</v>
      </c>
      <c r="K348" t="str">
        <f>_xlfn.IFNA(VLOOKUP(C348,merchants!$A$2:$D$41,4,FALSE),"Merchant not found")</f>
        <v>West</v>
      </c>
      <c r="L348" s="2">
        <f>HLOOKUP(F348,Fees!$B$1:$E$2,2,FALSE)</f>
        <v>0</v>
      </c>
    </row>
    <row r="349" spans="1:12" x14ac:dyDescent="0.3">
      <c r="A349" t="s">
        <v>362</v>
      </c>
      <c r="B349">
        <v>26</v>
      </c>
      <c r="C349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  <c r="I349" t="str">
        <f>_xlfn.IFNA(VLOOKUP(C349,merchants!$A$2:$D$41,2,FALSE),"Merchant not found")</f>
        <v>Merchant_019</v>
      </c>
      <c r="J349" t="str">
        <f>_xlfn.IFNA(VLOOKUP(C349,merchants!$A$2:$D$41,3,FALSE),"Merchant not found")</f>
        <v>grocery</v>
      </c>
      <c r="K349" t="str">
        <f>_xlfn.IFNA(VLOOKUP(C349,merchants!$A$2:$D$41,4,FALSE),"Merchant not found")</f>
        <v>North</v>
      </c>
      <c r="L349" s="2">
        <f>HLOOKUP(F349,Fees!$B$1:$E$2,2,FALSE)</f>
        <v>1.4999999999999999E-2</v>
      </c>
    </row>
    <row r="350" spans="1:12" x14ac:dyDescent="0.3">
      <c r="A350" t="s">
        <v>363</v>
      </c>
      <c r="B350">
        <v>241</v>
      </c>
      <c r="C350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  <c r="I350" t="str">
        <f>_xlfn.IFNA(VLOOKUP(C350,merchants!$A$2:$D$41,2,FALSE),"Merchant not found")</f>
        <v>Merchant_019</v>
      </c>
      <c r="J350" t="str">
        <f>_xlfn.IFNA(VLOOKUP(C350,merchants!$A$2:$D$41,3,FALSE),"Merchant not found")</f>
        <v>grocery</v>
      </c>
      <c r="K350" t="str">
        <f>_xlfn.IFNA(VLOOKUP(C350,merchants!$A$2:$D$41,4,FALSE),"Merchant not found")</f>
        <v>North</v>
      </c>
      <c r="L350" s="2">
        <f>HLOOKUP(F350,Fees!$B$1:$E$2,2,FALSE)</f>
        <v>0</v>
      </c>
    </row>
    <row r="351" spans="1:12" x14ac:dyDescent="0.3">
      <c r="A351" t="s">
        <v>364</v>
      </c>
      <c r="B351">
        <v>69</v>
      </c>
      <c r="C351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  <c r="I351" t="str">
        <f>_xlfn.IFNA(VLOOKUP(C351,merchants!$A$2:$D$41,2,FALSE),"Merchant not found")</f>
        <v>Merchant_017</v>
      </c>
      <c r="J351" t="str">
        <f>_xlfn.IFNA(VLOOKUP(C351,merchants!$A$2:$D$41,3,FALSE),"Merchant not found")</f>
        <v>grocery</v>
      </c>
      <c r="K351" t="str">
        <f>_xlfn.IFNA(VLOOKUP(C351,merchants!$A$2:$D$41,4,FALSE),"Merchant not found")</f>
        <v>North</v>
      </c>
      <c r="L351" s="2">
        <f>HLOOKUP(F351,Fees!$B$1:$E$2,2,FALSE)</f>
        <v>0</v>
      </c>
    </row>
    <row r="352" spans="1:12" x14ac:dyDescent="0.3">
      <c r="A352" t="s">
        <v>365</v>
      </c>
      <c r="B352">
        <v>24</v>
      </c>
      <c r="C35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  <c r="I352" t="str">
        <f>_xlfn.IFNA(VLOOKUP(C352,merchants!$A$2:$D$41,2,FALSE),"Merchant not found")</f>
        <v>Merchant_026</v>
      </c>
      <c r="J352" t="str">
        <f>_xlfn.IFNA(VLOOKUP(C352,merchants!$A$2:$D$41,3,FALSE),"Merchant not found")</f>
        <v>food_delivery</v>
      </c>
      <c r="K352" t="str">
        <f>_xlfn.IFNA(VLOOKUP(C352,merchants!$A$2:$D$41,4,FALSE),"Merchant not found")</f>
        <v>East</v>
      </c>
      <c r="L352" s="2">
        <f>HLOOKUP(F352,Fees!$B$1:$E$2,2,FALSE)</f>
        <v>0.01</v>
      </c>
    </row>
    <row r="353" spans="1:12" x14ac:dyDescent="0.3">
      <c r="A353" t="s">
        <v>366</v>
      </c>
      <c r="B353">
        <v>186</v>
      </c>
      <c r="C353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  <c r="I353" t="str">
        <f>_xlfn.IFNA(VLOOKUP(C353,merchants!$A$2:$D$41,2,FALSE),"Merchant not found")</f>
        <v>Merchant_036</v>
      </c>
      <c r="J353" t="str">
        <f>_xlfn.IFNA(VLOOKUP(C353,merchants!$A$2:$D$41,3,FALSE),"Merchant not found")</f>
        <v>entertainment</v>
      </c>
      <c r="K353" t="str">
        <f>_xlfn.IFNA(VLOOKUP(C353,merchants!$A$2:$D$41,4,FALSE),"Merchant not found")</f>
        <v>East</v>
      </c>
      <c r="L353" s="2">
        <f>HLOOKUP(F353,Fees!$B$1:$E$2,2,FALSE)</f>
        <v>0</v>
      </c>
    </row>
    <row r="354" spans="1:12" x14ac:dyDescent="0.3">
      <c r="A354" t="s">
        <v>367</v>
      </c>
      <c r="B354">
        <v>231</v>
      </c>
      <c r="C354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  <c r="I354" t="str">
        <f>_xlfn.IFNA(VLOOKUP(C354,merchants!$A$2:$D$41,2,FALSE),"Merchant not found")</f>
        <v>Merchant_036</v>
      </c>
      <c r="J354" t="str">
        <f>_xlfn.IFNA(VLOOKUP(C354,merchants!$A$2:$D$41,3,FALSE),"Merchant not found")</f>
        <v>entertainment</v>
      </c>
      <c r="K354" t="str">
        <f>_xlfn.IFNA(VLOOKUP(C354,merchants!$A$2:$D$41,4,FALSE),"Merchant not found")</f>
        <v>East</v>
      </c>
      <c r="L354" s="2">
        <f>HLOOKUP(F354,Fees!$B$1:$E$2,2,FALSE)</f>
        <v>0</v>
      </c>
    </row>
    <row r="355" spans="1:12" x14ac:dyDescent="0.3">
      <c r="A355" t="s">
        <v>368</v>
      </c>
      <c r="B355">
        <v>313</v>
      </c>
      <c r="C355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  <c r="I355" t="str">
        <f>_xlfn.IFNA(VLOOKUP(C355,merchants!$A$2:$D$41,2,FALSE),"Merchant not found")</f>
        <v>Merchant_008</v>
      </c>
      <c r="J355" t="str">
        <f>_xlfn.IFNA(VLOOKUP(C355,merchants!$A$2:$D$41,3,FALSE),"Merchant not found")</f>
        <v>food_delivery</v>
      </c>
      <c r="K355" t="str">
        <f>_xlfn.IFNA(VLOOKUP(C355,merchants!$A$2:$D$41,4,FALSE),"Merchant not found")</f>
        <v>North</v>
      </c>
      <c r="L355" s="2">
        <f>HLOOKUP(F355,Fees!$B$1:$E$2,2,FALSE)</f>
        <v>0.01</v>
      </c>
    </row>
    <row r="356" spans="1:12" x14ac:dyDescent="0.3">
      <c r="A356" t="s">
        <v>369</v>
      </c>
      <c r="B356">
        <v>174</v>
      </c>
      <c r="C356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  <c r="I356" t="str">
        <f>_xlfn.IFNA(VLOOKUP(C356,merchants!$A$2:$D$41,2,FALSE),"Merchant not found")</f>
        <v>Merchant_036</v>
      </c>
      <c r="J356" t="str">
        <f>_xlfn.IFNA(VLOOKUP(C356,merchants!$A$2:$D$41,3,FALSE),"Merchant not found")</f>
        <v>entertainment</v>
      </c>
      <c r="K356" t="str">
        <f>_xlfn.IFNA(VLOOKUP(C356,merchants!$A$2:$D$41,4,FALSE),"Merchant not found")</f>
        <v>East</v>
      </c>
      <c r="L356" s="2">
        <f>HLOOKUP(F356,Fees!$B$1:$E$2,2,FALSE)</f>
        <v>0</v>
      </c>
    </row>
    <row r="357" spans="1:12" x14ac:dyDescent="0.3">
      <c r="A357" t="s">
        <v>370</v>
      </c>
      <c r="B357">
        <v>309</v>
      </c>
      <c r="C357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  <c r="I357" t="str">
        <f>_xlfn.IFNA(VLOOKUP(C357,merchants!$A$2:$D$41,2,FALSE),"Merchant not found")</f>
        <v>Merchant_033</v>
      </c>
      <c r="J357" t="str">
        <f>_xlfn.IFNA(VLOOKUP(C357,merchants!$A$2:$D$41,3,FALSE),"Merchant not found")</f>
        <v>bill_payment</v>
      </c>
      <c r="K357" t="str">
        <f>_xlfn.IFNA(VLOOKUP(C357,merchants!$A$2:$D$41,4,FALSE),"Merchant not found")</f>
        <v>East</v>
      </c>
      <c r="L357" s="2">
        <f>HLOOKUP(F357,Fees!$B$1:$E$2,2,FALSE)</f>
        <v>0</v>
      </c>
    </row>
    <row r="358" spans="1:12" x14ac:dyDescent="0.3">
      <c r="A358" t="s">
        <v>371</v>
      </c>
      <c r="B358">
        <v>20</v>
      </c>
      <c r="C358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  <c r="I358" t="str">
        <f>_xlfn.IFNA(VLOOKUP(C358,merchants!$A$2:$D$41,2,FALSE),"Merchant not found")</f>
        <v>Merchant_009</v>
      </c>
      <c r="J358" t="str">
        <f>_xlfn.IFNA(VLOOKUP(C358,merchants!$A$2:$D$41,3,FALSE),"Merchant not found")</f>
        <v>ecommerce</v>
      </c>
      <c r="K358" t="str">
        <f>_xlfn.IFNA(VLOOKUP(C358,merchants!$A$2:$D$41,4,FALSE),"Merchant not found")</f>
        <v>North</v>
      </c>
      <c r="L358" s="2">
        <f>HLOOKUP(F358,Fees!$B$1:$E$2,2,FALSE)</f>
        <v>0</v>
      </c>
    </row>
    <row r="359" spans="1:12" x14ac:dyDescent="0.3">
      <c r="A359" t="s">
        <v>372</v>
      </c>
      <c r="B359">
        <v>234</v>
      </c>
      <c r="C359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  <c r="I359" t="str">
        <f>_xlfn.IFNA(VLOOKUP(C359,merchants!$A$2:$D$41,2,FALSE),"Merchant not found")</f>
        <v>Merchant_010</v>
      </c>
      <c r="J359" t="str">
        <f>_xlfn.IFNA(VLOOKUP(C359,merchants!$A$2:$D$41,3,FALSE),"Merchant not found")</f>
        <v>grocery</v>
      </c>
      <c r="K359" t="str">
        <f>_xlfn.IFNA(VLOOKUP(C359,merchants!$A$2:$D$41,4,FALSE),"Merchant not found")</f>
        <v>West</v>
      </c>
      <c r="L359" s="2">
        <f>HLOOKUP(F359,Fees!$B$1:$E$2,2,FALSE)</f>
        <v>0</v>
      </c>
    </row>
    <row r="360" spans="1:12" x14ac:dyDescent="0.3">
      <c r="A360" t="s">
        <v>373</v>
      </c>
      <c r="B360">
        <v>168</v>
      </c>
      <c r="C360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  <c r="I360" t="str">
        <f>_xlfn.IFNA(VLOOKUP(C360,merchants!$A$2:$D$41,2,FALSE),"Merchant not found")</f>
        <v>Merchant_040</v>
      </c>
      <c r="J360" t="str">
        <f>_xlfn.IFNA(VLOOKUP(C360,merchants!$A$2:$D$41,3,FALSE),"Merchant not found")</f>
        <v>entertainment</v>
      </c>
      <c r="K360" t="str">
        <f>_xlfn.IFNA(VLOOKUP(C360,merchants!$A$2:$D$41,4,FALSE),"Merchant not found")</f>
        <v>South</v>
      </c>
      <c r="L360" s="2">
        <f>HLOOKUP(F360,Fees!$B$1:$E$2,2,FALSE)</f>
        <v>0</v>
      </c>
    </row>
    <row r="361" spans="1:12" x14ac:dyDescent="0.3">
      <c r="A361" t="s">
        <v>374</v>
      </c>
      <c r="B361">
        <v>154</v>
      </c>
      <c r="C361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  <c r="I361" t="str">
        <f>_xlfn.IFNA(VLOOKUP(C361,merchants!$A$2:$D$41,2,FALSE),"Merchant not found")</f>
        <v>Merchant_038</v>
      </c>
      <c r="J361" t="str">
        <f>_xlfn.IFNA(VLOOKUP(C361,merchants!$A$2:$D$41,3,FALSE),"Merchant not found")</f>
        <v>grocery</v>
      </c>
      <c r="K361" t="str">
        <f>_xlfn.IFNA(VLOOKUP(C361,merchants!$A$2:$D$41,4,FALSE),"Merchant not found")</f>
        <v>East</v>
      </c>
      <c r="L361" s="2">
        <f>HLOOKUP(F361,Fees!$B$1:$E$2,2,FALSE)</f>
        <v>0.01</v>
      </c>
    </row>
    <row r="362" spans="1:12" x14ac:dyDescent="0.3">
      <c r="A362" t="s">
        <v>375</v>
      </c>
      <c r="B362">
        <v>251</v>
      </c>
      <c r="C36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  <c r="I362" t="str">
        <f>_xlfn.IFNA(VLOOKUP(C362,merchants!$A$2:$D$41,2,FALSE),"Merchant not found")</f>
        <v>Merchant_037</v>
      </c>
      <c r="J362" t="str">
        <f>_xlfn.IFNA(VLOOKUP(C362,merchants!$A$2:$D$41,3,FALSE),"Merchant not found")</f>
        <v>entertainment</v>
      </c>
      <c r="K362" t="str">
        <f>_xlfn.IFNA(VLOOKUP(C362,merchants!$A$2:$D$41,4,FALSE),"Merchant not found")</f>
        <v>South</v>
      </c>
      <c r="L362" s="2">
        <f>HLOOKUP(F362,Fees!$B$1:$E$2,2,FALSE)</f>
        <v>0</v>
      </c>
    </row>
    <row r="363" spans="1:12" x14ac:dyDescent="0.3">
      <c r="A363" t="s">
        <v>376</v>
      </c>
      <c r="B363">
        <v>170</v>
      </c>
      <c r="C363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  <c r="I363" t="str">
        <f>_xlfn.IFNA(VLOOKUP(C363,merchants!$A$2:$D$41,2,FALSE),"Merchant not found")</f>
        <v>Merchant_008</v>
      </c>
      <c r="J363" t="str">
        <f>_xlfn.IFNA(VLOOKUP(C363,merchants!$A$2:$D$41,3,FALSE),"Merchant not found")</f>
        <v>food_delivery</v>
      </c>
      <c r="K363" t="str">
        <f>_xlfn.IFNA(VLOOKUP(C363,merchants!$A$2:$D$41,4,FALSE),"Merchant not found")</f>
        <v>North</v>
      </c>
      <c r="L363" s="2">
        <f>HLOOKUP(F363,Fees!$B$1:$E$2,2,FALSE)</f>
        <v>0</v>
      </c>
    </row>
    <row r="364" spans="1:12" x14ac:dyDescent="0.3">
      <c r="A364" t="s">
        <v>377</v>
      </c>
      <c r="B364">
        <v>323</v>
      </c>
      <c r="C364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  <c r="I364" t="str">
        <f>_xlfn.IFNA(VLOOKUP(C364,merchants!$A$2:$D$41,2,FALSE),"Merchant not found")</f>
        <v>Merchant_002</v>
      </c>
      <c r="J364" t="str">
        <f>_xlfn.IFNA(VLOOKUP(C364,merchants!$A$2:$D$41,3,FALSE),"Merchant not found")</f>
        <v>grocery</v>
      </c>
      <c r="K364" t="str">
        <f>_xlfn.IFNA(VLOOKUP(C364,merchants!$A$2:$D$41,4,FALSE),"Merchant not found")</f>
        <v>West</v>
      </c>
      <c r="L364" s="2">
        <f>HLOOKUP(F364,Fees!$B$1:$E$2,2,FALSE)</f>
        <v>0.01</v>
      </c>
    </row>
    <row r="365" spans="1:12" x14ac:dyDescent="0.3">
      <c r="A365" t="s">
        <v>378</v>
      </c>
      <c r="B365">
        <v>297</v>
      </c>
      <c r="C365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  <c r="I365" t="str">
        <f>_xlfn.IFNA(VLOOKUP(C365,merchants!$A$2:$D$41,2,FALSE),"Merchant not found")</f>
        <v>Merchant_037</v>
      </c>
      <c r="J365" t="str">
        <f>_xlfn.IFNA(VLOOKUP(C365,merchants!$A$2:$D$41,3,FALSE),"Merchant not found")</f>
        <v>entertainment</v>
      </c>
      <c r="K365" t="str">
        <f>_xlfn.IFNA(VLOOKUP(C365,merchants!$A$2:$D$41,4,FALSE),"Merchant not found")</f>
        <v>South</v>
      </c>
      <c r="L365" s="2">
        <f>HLOOKUP(F365,Fees!$B$1:$E$2,2,FALSE)</f>
        <v>1.4999999999999999E-2</v>
      </c>
    </row>
    <row r="366" spans="1:12" x14ac:dyDescent="0.3">
      <c r="A366" t="s">
        <v>379</v>
      </c>
      <c r="B366">
        <v>246</v>
      </c>
      <c r="C366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  <c r="I366" t="str">
        <f>_xlfn.IFNA(VLOOKUP(C366,merchants!$A$2:$D$41,2,FALSE),"Merchant not found")</f>
        <v>Merchant_011</v>
      </c>
      <c r="J366" t="str">
        <f>_xlfn.IFNA(VLOOKUP(C366,merchants!$A$2:$D$41,3,FALSE),"Merchant not found")</f>
        <v>ecommerce</v>
      </c>
      <c r="K366" t="str">
        <f>_xlfn.IFNA(VLOOKUP(C366,merchants!$A$2:$D$41,4,FALSE),"Merchant not found")</f>
        <v>North</v>
      </c>
      <c r="L366" s="2">
        <f>HLOOKUP(F366,Fees!$B$1:$E$2,2,FALSE)</f>
        <v>0</v>
      </c>
    </row>
    <row r="367" spans="1:12" x14ac:dyDescent="0.3">
      <c r="A367" t="s">
        <v>380</v>
      </c>
      <c r="B367">
        <v>195</v>
      </c>
      <c r="C367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  <c r="I367" t="str">
        <f>_xlfn.IFNA(VLOOKUP(C367,merchants!$A$2:$D$41,2,FALSE),"Merchant not found")</f>
        <v>Merchant_010</v>
      </c>
      <c r="J367" t="str">
        <f>_xlfn.IFNA(VLOOKUP(C367,merchants!$A$2:$D$41,3,FALSE),"Merchant not found")</f>
        <v>grocery</v>
      </c>
      <c r="K367" t="str">
        <f>_xlfn.IFNA(VLOOKUP(C367,merchants!$A$2:$D$41,4,FALSE),"Merchant not found")</f>
        <v>West</v>
      </c>
      <c r="L367" s="2">
        <f>HLOOKUP(F367,Fees!$B$1:$E$2,2,FALSE)</f>
        <v>0</v>
      </c>
    </row>
    <row r="368" spans="1:12" x14ac:dyDescent="0.3">
      <c r="A368" t="s">
        <v>381</v>
      </c>
      <c r="B368">
        <v>57</v>
      </c>
      <c r="C368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  <c r="I368" t="str">
        <f>_xlfn.IFNA(VLOOKUP(C368,merchants!$A$2:$D$41,2,FALSE),"Merchant not found")</f>
        <v>Merchant_013</v>
      </c>
      <c r="J368" t="str">
        <f>_xlfn.IFNA(VLOOKUP(C368,merchants!$A$2:$D$41,3,FALSE),"Merchant not found")</f>
        <v>travel</v>
      </c>
      <c r="K368" t="str">
        <f>_xlfn.IFNA(VLOOKUP(C368,merchants!$A$2:$D$41,4,FALSE),"Merchant not found")</f>
        <v>East</v>
      </c>
      <c r="L368" s="2">
        <f>HLOOKUP(F368,Fees!$B$1:$E$2,2,FALSE)</f>
        <v>0</v>
      </c>
    </row>
    <row r="369" spans="1:12" x14ac:dyDescent="0.3">
      <c r="A369" t="s">
        <v>382</v>
      </c>
      <c r="B369">
        <v>78</v>
      </c>
      <c r="C369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  <c r="I369" t="str">
        <f>_xlfn.IFNA(VLOOKUP(C369,merchants!$A$2:$D$41,2,FALSE),"Merchant not found")</f>
        <v>Merchant_027</v>
      </c>
      <c r="J369" t="str">
        <f>_xlfn.IFNA(VLOOKUP(C369,merchants!$A$2:$D$41,3,FALSE),"Merchant not found")</f>
        <v>ecommerce</v>
      </c>
      <c r="K369" t="str">
        <f>_xlfn.IFNA(VLOOKUP(C369,merchants!$A$2:$D$41,4,FALSE),"Merchant not found")</f>
        <v>North</v>
      </c>
      <c r="L369" s="2">
        <f>HLOOKUP(F369,Fees!$B$1:$E$2,2,FALSE)</f>
        <v>0.01</v>
      </c>
    </row>
    <row r="370" spans="1:12" x14ac:dyDescent="0.3">
      <c r="A370" t="s">
        <v>383</v>
      </c>
      <c r="B370">
        <v>314</v>
      </c>
      <c r="C370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  <c r="I370" t="str">
        <f>_xlfn.IFNA(VLOOKUP(C370,merchants!$A$2:$D$41,2,FALSE),"Merchant not found")</f>
        <v>Merchant_031</v>
      </c>
      <c r="J370" t="str">
        <f>_xlfn.IFNA(VLOOKUP(C370,merchants!$A$2:$D$41,3,FALSE),"Merchant not found")</f>
        <v>bill_payment</v>
      </c>
      <c r="K370" t="str">
        <f>_xlfn.IFNA(VLOOKUP(C370,merchants!$A$2:$D$41,4,FALSE),"Merchant not found")</f>
        <v>East</v>
      </c>
      <c r="L370" s="2">
        <f>HLOOKUP(F370,Fees!$B$1:$E$2,2,FALSE)</f>
        <v>0</v>
      </c>
    </row>
    <row r="371" spans="1:12" x14ac:dyDescent="0.3">
      <c r="A371" t="s">
        <v>384</v>
      </c>
      <c r="B371">
        <v>71</v>
      </c>
      <c r="C371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  <c r="I371" t="str">
        <f>_xlfn.IFNA(VLOOKUP(C371,merchants!$A$2:$D$41,2,FALSE),"Merchant not found")</f>
        <v>Merchant_034</v>
      </c>
      <c r="J371" t="str">
        <f>_xlfn.IFNA(VLOOKUP(C371,merchants!$A$2:$D$41,3,FALSE),"Merchant not found")</f>
        <v>travel</v>
      </c>
      <c r="K371" t="str">
        <f>_xlfn.IFNA(VLOOKUP(C371,merchants!$A$2:$D$41,4,FALSE),"Merchant not found")</f>
        <v>South</v>
      </c>
      <c r="L371" s="2">
        <f>HLOOKUP(F371,Fees!$B$1:$E$2,2,FALSE)</f>
        <v>0</v>
      </c>
    </row>
    <row r="372" spans="1:12" x14ac:dyDescent="0.3">
      <c r="A372" t="s">
        <v>385</v>
      </c>
      <c r="B372">
        <v>245</v>
      </c>
      <c r="C37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  <c r="I372" t="str">
        <f>_xlfn.IFNA(VLOOKUP(C372,merchants!$A$2:$D$41,2,FALSE),"Merchant not found")</f>
        <v>Merchant_034</v>
      </c>
      <c r="J372" t="str">
        <f>_xlfn.IFNA(VLOOKUP(C372,merchants!$A$2:$D$41,3,FALSE),"Merchant not found")</f>
        <v>travel</v>
      </c>
      <c r="K372" t="str">
        <f>_xlfn.IFNA(VLOOKUP(C372,merchants!$A$2:$D$41,4,FALSE),"Merchant not found")</f>
        <v>South</v>
      </c>
      <c r="L372" s="2">
        <f>HLOOKUP(F372,Fees!$B$1:$E$2,2,FALSE)</f>
        <v>0</v>
      </c>
    </row>
    <row r="373" spans="1:12" x14ac:dyDescent="0.3">
      <c r="A373" t="s">
        <v>386</v>
      </c>
      <c r="B373">
        <v>273</v>
      </c>
      <c r="C373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  <c r="I373" t="str">
        <f>_xlfn.IFNA(VLOOKUP(C373,merchants!$A$2:$D$41,2,FALSE),"Merchant not found")</f>
        <v>Merchant_022</v>
      </c>
      <c r="J373" t="str">
        <f>_xlfn.IFNA(VLOOKUP(C373,merchants!$A$2:$D$41,3,FALSE),"Merchant not found")</f>
        <v>travel</v>
      </c>
      <c r="K373" t="str">
        <f>_xlfn.IFNA(VLOOKUP(C373,merchants!$A$2:$D$41,4,FALSE),"Merchant not found")</f>
        <v>South</v>
      </c>
      <c r="L373" s="2">
        <f>HLOOKUP(F373,Fees!$B$1:$E$2,2,FALSE)</f>
        <v>1.4999999999999999E-2</v>
      </c>
    </row>
    <row r="374" spans="1:12" x14ac:dyDescent="0.3">
      <c r="A374" t="s">
        <v>387</v>
      </c>
      <c r="B374">
        <v>349</v>
      </c>
      <c r="C374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  <c r="I374" t="str">
        <f>_xlfn.IFNA(VLOOKUP(C374,merchants!$A$2:$D$41,2,FALSE),"Merchant not found")</f>
        <v>Merchant_017</v>
      </c>
      <c r="J374" t="str">
        <f>_xlfn.IFNA(VLOOKUP(C374,merchants!$A$2:$D$41,3,FALSE),"Merchant not found")</f>
        <v>grocery</v>
      </c>
      <c r="K374" t="str">
        <f>_xlfn.IFNA(VLOOKUP(C374,merchants!$A$2:$D$41,4,FALSE),"Merchant not found")</f>
        <v>North</v>
      </c>
      <c r="L374" s="2">
        <f>HLOOKUP(F374,Fees!$B$1:$E$2,2,FALSE)</f>
        <v>0</v>
      </c>
    </row>
    <row r="375" spans="1:12" x14ac:dyDescent="0.3">
      <c r="A375" t="s">
        <v>388</v>
      </c>
      <c r="B375">
        <v>143</v>
      </c>
      <c r="C375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  <c r="I375" t="str">
        <f>_xlfn.IFNA(VLOOKUP(C375,merchants!$A$2:$D$41,2,FALSE),"Merchant not found")</f>
        <v>Merchant_036</v>
      </c>
      <c r="J375" t="str">
        <f>_xlfn.IFNA(VLOOKUP(C375,merchants!$A$2:$D$41,3,FALSE),"Merchant not found")</f>
        <v>entertainment</v>
      </c>
      <c r="K375" t="str">
        <f>_xlfn.IFNA(VLOOKUP(C375,merchants!$A$2:$D$41,4,FALSE),"Merchant not found")</f>
        <v>East</v>
      </c>
      <c r="L375" s="2">
        <f>HLOOKUP(F375,Fees!$B$1:$E$2,2,FALSE)</f>
        <v>0.01</v>
      </c>
    </row>
    <row r="376" spans="1:12" x14ac:dyDescent="0.3">
      <c r="A376" t="s">
        <v>389</v>
      </c>
      <c r="B376">
        <v>148</v>
      </c>
      <c r="C376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  <c r="I376" t="str">
        <f>_xlfn.IFNA(VLOOKUP(C376,merchants!$A$2:$D$41,2,FALSE),"Merchant not found")</f>
        <v>Merchant_014</v>
      </c>
      <c r="J376" t="str">
        <f>_xlfn.IFNA(VLOOKUP(C376,merchants!$A$2:$D$41,3,FALSE),"Merchant not found")</f>
        <v>grocery</v>
      </c>
      <c r="K376" t="str">
        <f>_xlfn.IFNA(VLOOKUP(C376,merchants!$A$2:$D$41,4,FALSE),"Merchant not found")</f>
        <v>East</v>
      </c>
      <c r="L376" s="2">
        <f>HLOOKUP(F376,Fees!$B$1:$E$2,2,FALSE)</f>
        <v>1.4999999999999999E-2</v>
      </c>
    </row>
    <row r="377" spans="1:12" x14ac:dyDescent="0.3">
      <c r="A377" t="s">
        <v>390</v>
      </c>
      <c r="B377">
        <v>246</v>
      </c>
      <c r="C377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  <c r="I377" t="str">
        <f>_xlfn.IFNA(VLOOKUP(C377,merchants!$A$2:$D$41,2,FALSE),"Merchant not found")</f>
        <v>Merchant_023</v>
      </c>
      <c r="J377" t="str">
        <f>_xlfn.IFNA(VLOOKUP(C377,merchants!$A$2:$D$41,3,FALSE),"Merchant not found")</f>
        <v>travel</v>
      </c>
      <c r="K377" t="str">
        <f>_xlfn.IFNA(VLOOKUP(C377,merchants!$A$2:$D$41,4,FALSE),"Merchant not found")</f>
        <v>North</v>
      </c>
      <c r="L377" s="2">
        <f>HLOOKUP(F377,Fees!$B$1:$E$2,2,FALSE)</f>
        <v>0</v>
      </c>
    </row>
    <row r="378" spans="1:12" x14ac:dyDescent="0.3">
      <c r="A378" t="s">
        <v>391</v>
      </c>
      <c r="B378">
        <v>148</v>
      </c>
      <c r="C378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  <c r="I378" t="str">
        <f>_xlfn.IFNA(VLOOKUP(C378,merchants!$A$2:$D$41,2,FALSE),"Merchant not found")</f>
        <v>Merchant_008</v>
      </c>
      <c r="J378" t="str">
        <f>_xlfn.IFNA(VLOOKUP(C378,merchants!$A$2:$D$41,3,FALSE),"Merchant not found")</f>
        <v>food_delivery</v>
      </c>
      <c r="K378" t="str">
        <f>_xlfn.IFNA(VLOOKUP(C378,merchants!$A$2:$D$41,4,FALSE),"Merchant not found")</f>
        <v>North</v>
      </c>
      <c r="L378" s="2">
        <f>HLOOKUP(F378,Fees!$B$1:$E$2,2,FALSE)</f>
        <v>1.4999999999999999E-2</v>
      </c>
    </row>
    <row r="379" spans="1:12" x14ac:dyDescent="0.3">
      <c r="A379" t="s">
        <v>392</v>
      </c>
      <c r="B379">
        <v>203</v>
      </c>
      <c r="C379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  <c r="I379" t="str">
        <f>_xlfn.IFNA(VLOOKUP(C379,merchants!$A$2:$D$41,2,FALSE),"Merchant not found")</f>
        <v>Merchant_023</v>
      </c>
      <c r="J379" t="str">
        <f>_xlfn.IFNA(VLOOKUP(C379,merchants!$A$2:$D$41,3,FALSE),"Merchant not found")</f>
        <v>travel</v>
      </c>
      <c r="K379" t="str">
        <f>_xlfn.IFNA(VLOOKUP(C379,merchants!$A$2:$D$41,4,FALSE),"Merchant not found")</f>
        <v>North</v>
      </c>
      <c r="L379" s="2">
        <f>HLOOKUP(F379,Fees!$B$1:$E$2,2,FALSE)</f>
        <v>0</v>
      </c>
    </row>
    <row r="380" spans="1:12" x14ac:dyDescent="0.3">
      <c r="A380" t="s">
        <v>393</v>
      </c>
      <c r="B380">
        <v>22</v>
      </c>
      <c r="C380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  <c r="I380" t="str">
        <f>_xlfn.IFNA(VLOOKUP(C380,merchants!$A$2:$D$41,2,FALSE),"Merchant not found")</f>
        <v>Merchant_019</v>
      </c>
      <c r="J380" t="str">
        <f>_xlfn.IFNA(VLOOKUP(C380,merchants!$A$2:$D$41,3,FALSE),"Merchant not found")</f>
        <v>grocery</v>
      </c>
      <c r="K380" t="str">
        <f>_xlfn.IFNA(VLOOKUP(C380,merchants!$A$2:$D$41,4,FALSE),"Merchant not found")</f>
        <v>North</v>
      </c>
      <c r="L380" s="2">
        <f>HLOOKUP(F380,Fees!$B$1:$E$2,2,FALSE)</f>
        <v>0.02</v>
      </c>
    </row>
    <row r="381" spans="1:12" x14ac:dyDescent="0.3">
      <c r="A381" t="s">
        <v>394</v>
      </c>
      <c r="B381">
        <v>227</v>
      </c>
      <c r="C381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  <c r="I381" t="str">
        <f>_xlfn.IFNA(VLOOKUP(C381,merchants!$A$2:$D$41,2,FALSE),"Merchant not found")</f>
        <v>Merchant_017</v>
      </c>
      <c r="J381" t="str">
        <f>_xlfn.IFNA(VLOOKUP(C381,merchants!$A$2:$D$41,3,FALSE),"Merchant not found")</f>
        <v>grocery</v>
      </c>
      <c r="K381" t="str">
        <f>_xlfn.IFNA(VLOOKUP(C381,merchants!$A$2:$D$41,4,FALSE),"Merchant not found")</f>
        <v>North</v>
      </c>
      <c r="L381" s="2">
        <f>HLOOKUP(F381,Fees!$B$1:$E$2,2,FALSE)</f>
        <v>1.4999999999999999E-2</v>
      </c>
    </row>
    <row r="382" spans="1:12" x14ac:dyDescent="0.3">
      <c r="A382" t="s">
        <v>395</v>
      </c>
      <c r="B382">
        <v>276</v>
      </c>
      <c r="C38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  <c r="I382" t="str">
        <f>_xlfn.IFNA(VLOOKUP(C382,merchants!$A$2:$D$41,2,FALSE),"Merchant not found")</f>
        <v>Merchant_018</v>
      </c>
      <c r="J382" t="str">
        <f>_xlfn.IFNA(VLOOKUP(C382,merchants!$A$2:$D$41,3,FALSE),"Merchant not found")</f>
        <v>grocery</v>
      </c>
      <c r="K382" t="str">
        <f>_xlfn.IFNA(VLOOKUP(C382,merchants!$A$2:$D$41,4,FALSE),"Merchant not found")</f>
        <v>West</v>
      </c>
      <c r="L382" s="2">
        <f>HLOOKUP(F382,Fees!$B$1:$E$2,2,FALSE)</f>
        <v>1.4999999999999999E-2</v>
      </c>
    </row>
    <row r="383" spans="1:12" x14ac:dyDescent="0.3">
      <c r="A383" t="s">
        <v>396</v>
      </c>
      <c r="B383">
        <v>56</v>
      </c>
      <c r="C383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  <c r="I383" t="str">
        <f>_xlfn.IFNA(VLOOKUP(C383,merchants!$A$2:$D$41,2,FALSE),"Merchant not found")</f>
        <v>Merchant_040</v>
      </c>
      <c r="J383" t="str">
        <f>_xlfn.IFNA(VLOOKUP(C383,merchants!$A$2:$D$41,3,FALSE),"Merchant not found")</f>
        <v>entertainment</v>
      </c>
      <c r="K383" t="str">
        <f>_xlfn.IFNA(VLOOKUP(C383,merchants!$A$2:$D$41,4,FALSE),"Merchant not found")</f>
        <v>South</v>
      </c>
      <c r="L383" s="2">
        <f>HLOOKUP(F383,Fees!$B$1:$E$2,2,FALSE)</f>
        <v>0.02</v>
      </c>
    </row>
    <row r="384" spans="1:12" x14ac:dyDescent="0.3">
      <c r="A384" t="s">
        <v>397</v>
      </c>
      <c r="B384">
        <v>26</v>
      </c>
      <c r="C384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  <c r="I384" t="str">
        <f>_xlfn.IFNA(VLOOKUP(C384,merchants!$A$2:$D$41,2,FALSE),"Merchant not found")</f>
        <v>Merchant_034</v>
      </c>
      <c r="J384" t="str">
        <f>_xlfn.IFNA(VLOOKUP(C384,merchants!$A$2:$D$41,3,FALSE),"Merchant not found")</f>
        <v>travel</v>
      </c>
      <c r="K384" t="str">
        <f>_xlfn.IFNA(VLOOKUP(C384,merchants!$A$2:$D$41,4,FALSE),"Merchant not found")</f>
        <v>South</v>
      </c>
      <c r="L384" s="2">
        <f>HLOOKUP(F384,Fees!$B$1:$E$2,2,FALSE)</f>
        <v>0.02</v>
      </c>
    </row>
    <row r="385" spans="1:12" x14ac:dyDescent="0.3">
      <c r="A385" t="s">
        <v>398</v>
      </c>
      <c r="B385">
        <v>52</v>
      </c>
      <c r="C385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  <c r="I385" t="str">
        <f>_xlfn.IFNA(VLOOKUP(C385,merchants!$A$2:$D$41,2,FALSE),"Merchant not found")</f>
        <v>Merchant_027</v>
      </c>
      <c r="J385" t="str">
        <f>_xlfn.IFNA(VLOOKUP(C385,merchants!$A$2:$D$41,3,FALSE),"Merchant not found")</f>
        <v>ecommerce</v>
      </c>
      <c r="K385" t="str">
        <f>_xlfn.IFNA(VLOOKUP(C385,merchants!$A$2:$D$41,4,FALSE),"Merchant not found")</f>
        <v>North</v>
      </c>
      <c r="L385" s="2">
        <f>HLOOKUP(F385,Fees!$B$1:$E$2,2,FALSE)</f>
        <v>0.02</v>
      </c>
    </row>
    <row r="386" spans="1:12" x14ac:dyDescent="0.3">
      <c r="A386" t="s">
        <v>399</v>
      </c>
      <c r="B386">
        <v>349</v>
      </c>
      <c r="C386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  <c r="I386" t="str">
        <f>_xlfn.IFNA(VLOOKUP(C386,merchants!$A$2:$D$41,2,FALSE),"Merchant not found")</f>
        <v>Merchant_009</v>
      </c>
      <c r="J386" t="str">
        <f>_xlfn.IFNA(VLOOKUP(C386,merchants!$A$2:$D$41,3,FALSE),"Merchant not found")</f>
        <v>ecommerce</v>
      </c>
      <c r="K386" t="str">
        <f>_xlfn.IFNA(VLOOKUP(C386,merchants!$A$2:$D$41,4,FALSE),"Merchant not found")</f>
        <v>North</v>
      </c>
      <c r="L386" s="2">
        <f>HLOOKUP(F386,Fees!$B$1:$E$2,2,FALSE)</f>
        <v>1.4999999999999999E-2</v>
      </c>
    </row>
    <row r="387" spans="1:12" x14ac:dyDescent="0.3">
      <c r="A387" t="s">
        <v>400</v>
      </c>
      <c r="B387">
        <v>335</v>
      </c>
      <c r="C387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  <c r="I387" t="str">
        <f>_xlfn.IFNA(VLOOKUP(C387,merchants!$A$2:$D$41,2,FALSE),"Merchant not found")</f>
        <v>Merchant_031</v>
      </c>
      <c r="J387" t="str">
        <f>_xlfn.IFNA(VLOOKUP(C387,merchants!$A$2:$D$41,3,FALSE),"Merchant not found")</f>
        <v>bill_payment</v>
      </c>
      <c r="K387" t="str">
        <f>_xlfn.IFNA(VLOOKUP(C387,merchants!$A$2:$D$41,4,FALSE),"Merchant not found")</f>
        <v>East</v>
      </c>
      <c r="L387" s="2">
        <f>HLOOKUP(F387,Fees!$B$1:$E$2,2,FALSE)</f>
        <v>0.02</v>
      </c>
    </row>
    <row r="388" spans="1:12" x14ac:dyDescent="0.3">
      <c r="A388" t="s">
        <v>401</v>
      </c>
      <c r="B388">
        <v>148</v>
      </c>
      <c r="C388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  <c r="I388" t="str">
        <f>_xlfn.IFNA(VLOOKUP(C388,merchants!$A$2:$D$41,2,FALSE),"Merchant not found")</f>
        <v>Merchant_021</v>
      </c>
      <c r="J388" t="str">
        <f>_xlfn.IFNA(VLOOKUP(C388,merchants!$A$2:$D$41,3,FALSE),"Merchant not found")</f>
        <v>food_delivery</v>
      </c>
      <c r="K388" t="str">
        <f>_xlfn.IFNA(VLOOKUP(C388,merchants!$A$2:$D$41,4,FALSE),"Merchant not found")</f>
        <v>East</v>
      </c>
      <c r="L388" s="2">
        <f>HLOOKUP(F388,Fees!$B$1:$E$2,2,FALSE)</f>
        <v>0.02</v>
      </c>
    </row>
    <row r="389" spans="1:12" x14ac:dyDescent="0.3">
      <c r="A389" t="s">
        <v>402</v>
      </c>
      <c r="B389">
        <v>46</v>
      </c>
      <c r="C389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  <c r="I389" t="str">
        <f>_xlfn.IFNA(VLOOKUP(C389,merchants!$A$2:$D$41,2,FALSE),"Merchant not found")</f>
        <v>Merchant_037</v>
      </c>
      <c r="J389" t="str">
        <f>_xlfn.IFNA(VLOOKUP(C389,merchants!$A$2:$D$41,3,FALSE),"Merchant not found")</f>
        <v>entertainment</v>
      </c>
      <c r="K389" t="str">
        <f>_xlfn.IFNA(VLOOKUP(C389,merchants!$A$2:$D$41,4,FALSE),"Merchant not found")</f>
        <v>South</v>
      </c>
      <c r="L389" s="2">
        <f>HLOOKUP(F389,Fees!$B$1:$E$2,2,FALSE)</f>
        <v>1.4999999999999999E-2</v>
      </c>
    </row>
    <row r="390" spans="1:12" x14ac:dyDescent="0.3">
      <c r="A390" t="s">
        <v>403</v>
      </c>
      <c r="B390">
        <v>20</v>
      </c>
      <c r="C390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  <c r="I390" t="str">
        <f>_xlfn.IFNA(VLOOKUP(C390,merchants!$A$2:$D$41,2,FALSE),"Merchant not found")</f>
        <v>Merchant_012</v>
      </c>
      <c r="J390" t="str">
        <f>_xlfn.IFNA(VLOOKUP(C390,merchants!$A$2:$D$41,3,FALSE),"Merchant not found")</f>
        <v>ecommerce</v>
      </c>
      <c r="K390" t="str">
        <f>_xlfn.IFNA(VLOOKUP(C390,merchants!$A$2:$D$41,4,FALSE),"Merchant not found")</f>
        <v>East</v>
      </c>
      <c r="L390" s="2">
        <f>HLOOKUP(F390,Fees!$B$1:$E$2,2,FALSE)</f>
        <v>0.02</v>
      </c>
    </row>
    <row r="391" spans="1:12" x14ac:dyDescent="0.3">
      <c r="A391" t="s">
        <v>404</v>
      </c>
      <c r="B391">
        <v>19</v>
      </c>
      <c r="C391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  <c r="I391" t="str">
        <f>_xlfn.IFNA(VLOOKUP(C391,merchants!$A$2:$D$41,2,FALSE),"Merchant not found")</f>
        <v>Merchant_026</v>
      </c>
      <c r="J391" t="str">
        <f>_xlfn.IFNA(VLOOKUP(C391,merchants!$A$2:$D$41,3,FALSE),"Merchant not found")</f>
        <v>food_delivery</v>
      </c>
      <c r="K391" t="str">
        <f>_xlfn.IFNA(VLOOKUP(C391,merchants!$A$2:$D$41,4,FALSE),"Merchant not found")</f>
        <v>East</v>
      </c>
      <c r="L391" s="2">
        <f>HLOOKUP(F391,Fees!$B$1:$E$2,2,FALSE)</f>
        <v>0</v>
      </c>
    </row>
    <row r="392" spans="1:12" x14ac:dyDescent="0.3">
      <c r="A392" t="s">
        <v>405</v>
      </c>
      <c r="B392">
        <v>149</v>
      </c>
      <c r="C39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  <c r="I392" t="str">
        <f>_xlfn.IFNA(VLOOKUP(C392,merchants!$A$2:$D$41,2,FALSE),"Merchant not found")</f>
        <v>Merchant_003</v>
      </c>
      <c r="J392" t="str">
        <f>_xlfn.IFNA(VLOOKUP(C392,merchants!$A$2:$D$41,3,FALSE),"Merchant not found")</f>
        <v>grocery</v>
      </c>
      <c r="K392" t="str">
        <f>_xlfn.IFNA(VLOOKUP(C392,merchants!$A$2:$D$41,4,FALSE),"Merchant not found")</f>
        <v>East</v>
      </c>
      <c r="L392" s="2">
        <f>HLOOKUP(F392,Fees!$B$1:$E$2,2,FALSE)</f>
        <v>1.4999999999999999E-2</v>
      </c>
    </row>
    <row r="393" spans="1:12" x14ac:dyDescent="0.3">
      <c r="A393" t="s">
        <v>406</v>
      </c>
      <c r="B393">
        <v>55</v>
      </c>
      <c r="C393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  <c r="I393" t="str">
        <f>_xlfn.IFNA(VLOOKUP(C393,merchants!$A$2:$D$41,2,FALSE),"Merchant not found")</f>
        <v>Merchant_022</v>
      </c>
      <c r="J393" t="str">
        <f>_xlfn.IFNA(VLOOKUP(C393,merchants!$A$2:$D$41,3,FALSE),"Merchant not found")</f>
        <v>travel</v>
      </c>
      <c r="K393" t="str">
        <f>_xlfn.IFNA(VLOOKUP(C393,merchants!$A$2:$D$41,4,FALSE),"Merchant not found")</f>
        <v>South</v>
      </c>
      <c r="L393" s="2">
        <f>HLOOKUP(F393,Fees!$B$1:$E$2,2,FALSE)</f>
        <v>0</v>
      </c>
    </row>
    <row r="394" spans="1:12" x14ac:dyDescent="0.3">
      <c r="A394" t="s">
        <v>407</v>
      </c>
      <c r="B394">
        <v>269</v>
      </c>
      <c r="C394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  <c r="I394" t="str">
        <f>_xlfn.IFNA(VLOOKUP(C394,merchants!$A$2:$D$41,2,FALSE),"Merchant not found")</f>
        <v>Merchant_032</v>
      </c>
      <c r="J394" t="str">
        <f>_xlfn.IFNA(VLOOKUP(C394,merchants!$A$2:$D$41,3,FALSE),"Merchant not found")</f>
        <v>food_delivery</v>
      </c>
      <c r="K394" t="str">
        <f>_xlfn.IFNA(VLOOKUP(C394,merchants!$A$2:$D$41,4,FALSE),"Merchant not found")</f>
        <v>West</v>
      </c>
      <c r="L394" s="2">
        <f>HLOOKUP(F394,Fees!$B$1:$E$2,2,FALSE)</f>
        <v>0.02</v>
      </c>
    </row>
    <row r="395" spans="1:12" x14ac:dyDescent="0.3">
      <c r="A395" t="s">
        <v>408</v>
      </c>
      <c r="B395">
        <v>140</v>
      </c>
      <c r="C395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  <c r="I395" t="str">
        <f>_xlfn.IFNA(VLOOKUP(C395,merchants!$A$2:$D$41,2,FALSE),"Merchant not found")</f>
        <v>Merchant_013</v>
      </c>
      <c r="J395" t="str">
        <f>_xlfn.IFNA(VLOOKUP(C395,merchants!$A$2:$D$41,3,FALSE),"Merchant not found")</f>
        <v>travel</v>
      </c>
      <c r="K395" t="str">
        <f>_xlfn.IFNA(VLOOKUP(C395,merchants!$A$2:$D$41,4,FALSE),"Merchant not found")</f>
        <v>East</v>
      </c>
      <c r="L395" s="2">
        <f>HLOOKUP(F395,Fees!$B$1:$E$2,2,FALSE)</f>
        <v>0</v>
      </c>
    </row>
    <row r="396" spans="1:12" x14ac:dyDescent="0.3">
      <c r="A396" t="s">
        <v>409</v>
      </c>
      <c r="B396">
        <v>235</v>
      </c>
      <c r="C396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  <c r="I396" t="str">
        <f>_xlfn.IFNA(VLOOKUP(C396,merchants!$A$2:$D$41,2,FALSE),"Merchant not found")</f>
        <v>Merchant_017</v>
      </c>
      <c r="J396" t="str">
        <f>_xlfn.IFNA(VLOOKUP(C396,merchants!$A$2:$D$41,3,FALSE),"Merchant not found")</f>
        <v>grocery</v>
      </c>
      <c r="K396" t="str">
        <f>_xlfn.IFNA(VLOOKUP(C396,merchants!$A$2:$D$41,4,FALSE),"Merchant not found")</f>
        <v>North</v>
      </c>
      <c r="L396" s="2">
        <f>HLOOKUP(F396,Fees!$B$1:$E$2,2,FALSE)</f>
        <v>0</v>
      </c>
    </row>
    <row r="397" spans="1:12" x14ac:dyDescent="0.3">
      <c r="A397" t="s">
        <v>410</v>
      </c>
      <c r="B397">
        <v>173</v>
      </c>
      <c r="C397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  <c r="I397" t="str">
        <f>_xlfn.IFNA(VLOOKUP(C397,merchants!$A$2:$D$41,2,FALSE),"Merchant not found")</f>
        <v>Merchant_019</v>
      </c>
      <c r="J397" t="str">
        <f>_xlfn.IFNA(VLOOKUP(C397,merchants!$A$2:$D$41,3,FALSE),"Merchant not found")</f>
        <v>grocery</v>
      </c>
      <c r="K397" t="str">
        <f>_xlfn.IFNA(VLOOKUP(C397,merchants!$A$2:$D$41,4,FALSE),"Merchant not found")</f>
        <v>North</v>
      </c>
      <c r="L397" s="2">
        <f>HLOOKUP(F397,Fees!$B$1:$E$2,2,FALSE)</f>
        <v>0</v>
      </c>
    </row>
    <row r="398" spans="1:12" x14ac:dyDescent="0.3">
      <c r="A398" t="s">
        <v>411</v>
      </c>
      <c r="B398">
        <v>313</v>
      </c>
      <c r="C398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  <c r="I398" t="str">
        <f>_xlfn.IFNA(VLOOKUP(C398,merchants!$A$2:$D$41,2,FALSE),"Merchant not found")</f>
        <v>Merchant_026</v>
      </c>
      <c r="J398" t="str">
        <f>_xlfn.IFNA(VLOOKUP(C398,merchants!$A$2:$D$41,3,FALSE),"Merchant not found")</f>
        <v>food_delivery</v>
      </c>
      <c r="K398" t="str">
        <f>_xlfn.IFNA(VLOOKUP(C398,merchants!$A$2:$D$41,4,FALSE),"Merchant not found")</f>
        <v>East</v>
      </c>
      <c r="L398" s="2">
        <f>HLOOKUP(F398,Fees!$B$1:$E$2,2,FALSE)</f>
        <v>0</v>
      </c>
    </row>
    <row r="399" spans="1:12" x14ac:dyDescent="0.3">
      <c r="A399" t="s">
        <v>412</v>
      </c>
      <c r="B399">
        <v>206</v>
      </c>
      <c r="C399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  <c r="I399" t="str">
        <f>_xlfn.IFNA(VLOOKUP(C399,merchants!$A$2:$D$41,2,FALSE),"Merchant not found")</f>
        <v>Merchant_007</v>
      </c>
      <c r="J399" t="str">
        <f>_xlfn.IFNA(VLOOKUP(C399,merchants!$A$2:$D$41,3,FALSE),"Merchant not found")</f>
        <v>food_delivery</v>
      </c>
      <c r="K399" t="str">
        <f>_xlfn.IFNA(VLOOKUP(C399,merchants!$A$2:$D$41,4,FALSE),"Merchant not found")</f>
        <v>East</v>
      </c>
      <c r="L399" s="2">
        <f>HLOOKUP(F399,Fees!$B$1:$E$2,2,FALSE)</f>
        <v>1.4999999999999999E-2</v>
      </c>
    </row>
    <row r="400" spans="1:12" x14ac:dyDescent="0.3">
      <c r="A400" t="s">
        <v>413</v>
      </c>
      <c r="B400">
        <v>128</v>
      </c>
      <c r="C400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  <c r="I400" t="str">
        <f>_xlfn.IFNA(VLOOKUP(C400,merchants!$A$2:$D$41,2,FALSE),"Merchant not found")</f>
        <v>Merchant_001</v>
      </c>
      <c r="J400" t="str">
        <f>_xlfn.IFNA(VLOOKUP(C400,merchants!$A$2:$D$41,3,FALSE),"Merchant not found")</f>
        <v>ecommerce</v>
      </c>
      <c r="K400" t="str">
        <f>_xlfn.IFNA(VLOOKUP(C400,merchants!$A$2:$D$41,4,FALSE),"Merchant not found")</f>
        <v>South</v>
      </c>
      <c r="L400" s="2">
        <f>HLOOKUP(F400,Fees!$B$1:$E$2,2,FALSE)</f>
        <v>0.01</v>
      </c>
    </row>
    <row r="401" spans="1:12" x14ac:dyDescent="0.3">
      <c r="A401" t="s">
        <v>414</v>
      </c>
      <c r="B401">
        <v>137</v>
      </c>
      <c r="C401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  <c r="I401" t="str">
        <f>_xlfn.IFNA(VLOOKUP(C401,merchants!$A$2:$D$41,2,FALSE),"Merchant not found")</f>
        <v>Merchant_022</v>
      </c>
      <c r="J401" t="str">
        <f>_xlfn.IFNA(VLOOKUP(C401,merchants!$A$2:$D$41,3,FALSE),"Merchant not found")</f>
        <v>travel</v>
      </c>
      <c r="K401" t="str">
        <f>_xlfn.IFNA(VLOOKUP(C401,merchants!$A$2:$D$41,4,FALSE),"Merchant not found")</f>
        <v>South</v>
      </c>
      <c r="L401" s="2">
        <f>HLOOKUP(F401,Fees!$B$1:$E$2,2,FALSE)</f>
        <v>0</v>
      </c>
    </row>
    <row r="402" spans="1:12" x14ac:dyDescent="0.3">
      <c r="A402" t="s">
        <v>415</v>
      </c>
      <c r="B402">
        <v>6</v>
      </c>
      <c r="C40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  <c r="I402" t="str">
        <f>_xlfn.IFNA(VLOOKUP(C402,merchants!$A$2:$D$41,2,FALSE),"Merchant not found")</f>
        <v>Merchant_017</v>
      </c>
      <c r="J402" t="str">
        <f>_xlfn.IFNA(VLOOKUP(C402,merchants!$A$2:$D$41,3,FALSE),"Merchant not found")</f>
        <v>grocery</v>
      </c>
      <c r="K402" t="str">
        <f>_xlfn.IFNA(VLOOKUP(C402,merchants!$A$2:$D$41,4,FALSE),"Merchant not found")</f>
        <v>North</v>
      </c>
      <c r="L402" s="2">
        <f>HLOOKUP(F402,Fees!$B$1:$E$2,2,FALSE)</f>
        <v>0</v>
      </c>
    </row>
    <row r="403" spans="1:12" x14ac:dyDescent="0.3">
      <c r="A403" t="s">
        <v>416</v>
      </c>
      <c r="B403">
        <v>32</v>
      </c>
      <c r="C403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  <c r="I403" t="str">
        <f>_xlfn.IFNA(VLOOKUP(C403,merchants!$A$2:$D$41,2,FALSE),"Merchant not found")</f>
        <v>Merchant_008</v>
      </c>
      <c r="J403" t="str">
        <f>_xlfn.IFNA(VLOOKUP(C403,merchants!$A$2:$D$41,3,FALSE),"Merchant not found")</f>
        <v>food_delivery</v>
      </c>
      <c r="K403" t="str">
        <f>_xlfn.IFNA(VLOOKUP(C403,merchants!$A$2:$D$41,4,FALSE),"Merchant not found")</f>
        <v>North</v>
      </c>
      <c r="L403" s="2">
        <f>HLOOKUP(F403,Fees!$B$1:$E$2,2,FALSE)</f>
        <v>0.02</v>
      </c>
    </row>
    <row r="404" spans="1:12" x14ac:dyDescent="0.3">
      <c r="A404" t="s">
        <v>417</v>
      </c>
      <c r="B404">
        <v>258</v>
      </c>
      <c r="C404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  <c r="I404" t="str">
        <f>_xlfn.IFNA(VLOOKUP(C404,merchants!$A$2:$D$41,2,FALSE),"Merchant not found")</f>
        <v>Merchant_020</v>
      </c>
      <c r="J404" t="str">
        <f>_xlfn.IFNA(VLOOKUP(C404,merchants!$A$2:$D$41,3,FALSE),"Merchant not found")</f>
        <v>food_delivery</v>
      </c>
      <c r="K404" t="str">
        <f>_xlfn.IFNA(VLOOKUP(C404,merchants!$A$2:$D$41,4,FALSE),"Merchant not found")</f>
        <v>East</v>
      </c>
      <c r="L404" s="2">
        <f>HLOOKUP(F404,Fees!$B$1:$E$2,2,FALSE)</f>
        <v>0</v>
      </c>
    </row>
    <row r="405" spans="1:12" x14ac:dyDescent="0.3">
      <c r="A405" t="s">
        <v>418</v>
      </c>
      <c r="B405">
        <v>152</v>
      </c>
      <c r="C405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  <c r="I405" t="str">
        <f>_xlfn.IFNA(VLOOKUP(C405,merchants!$A$2:$D$41,2,FALSE),"Merchant not found")</f>
        <v>Merchant_024</v>
      </c>
      <c r="J405" t="str">
        <f>_xlfn.IFNA(VLOOKUP(C405,merchants!$A$2:$D$41,3,FALSE),"Merchant not found")</f>
        <v>grocery</v>
      </c>
      <c r="K405" t="str">
        <f>_xlfn.IFNA(VLOOKUP(C405,merchants!$A$2:$D$41,4,FALSE),"Merchant not found")</f>
        <v>North</v>
      </c>
      <c r="L405" s="2">
        <f>HLOOKUP(F405,Fees!$B$1:$E$2,2,FALSE)</f>
        <v>0</v>
      </c>
    </row>
    <row r="406" spans="1:12" x14ac:dyDescent="0.3">
      <c r="A406" t="s">
        <v>419</v>
      </c>
      <c r="B406">
        <v>245</v>
      </c>
      <c r="C406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  <c r="I406" t="str">
        <f>_xlfn.IFNA(VLOOKUP(C406,merchants!$A$2:$D$41,2,FALSE),"Merchant not found")</f>
        <v>Merchant_010</v>
      </c>
      <c r="J406" t="str">
        <f>_xlfn.IFNA(VLOOKUP(C406,merchants!$A$2:$D$41,3,FALSE),"Merchant not found")</f>
        <v>grocery</v>
      </c>
      <c r="K406" t="str">
        <f>_xlfn.IFNA(VLOOKUP(C406,merchants!$A$2:$D$41,4,FALSE),"Merchant not found")</f>
        <v>West</v>
      </c>
      <c r="L406" s="2">
        <f>HLOOKUP(F406,Fees!$B$1:$E$2,2,FALSE)</f>
        <v>1.4999999999999999E-2</v>
      </c>
    </row>
    <row r="407" spans="1:12" x14ac:dyDescent="0.3">
      <c r="A407" t="s">
        <v>420</v>
      </c>
      <c r="B407">
        <v>213</v>
      </c>
      <c r="C407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  <c r="I407" t="str">
        <f>_xlfn.IFNA(VLOOKUP(C407,merchants!$A$2:$D$41,2,FALSE),"Merchant not found")</f>
        <v>Merchant_036</v>
      </c>
      <c r="J407" t="str">
        <f>_xlfn.IFNA(VLOOKUP(C407,merchants!$A$2:$D$41,3,FALSE),"Merchant not found")</f>
        <v>entertainment</v>
      </c>
      <c r="K407" t="str">
        <f>_xlfn.IFNA(VLOOKUP(C407,merchants!$A$2:$D$41,4,FALSE),"Merchant not found")</f>
        <v>East</v>
      </c>
      <c r="L407" s="2">
        <f>HLOOKUP(F407,Fees!$B$1:$E$2,2,FALSE)</f>
        <v>1.4999999999999999E-2</v>
      </c>
    </row>
    <row r="408" spans="1:12" x14ac:dyDescent="0.3">
      <c r="A408" t="s">
        <v>421</v>
      </c>
      <c r="B408">
        <v>341</v>
      </c>
      <c r="C408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  <c r="I408" t="str">
        <f>_xlfn.IFNA(VLOOKUP(C408,merchants!$A$2:$D$41,2,FALSE),"Merchant not found")</f>
        <v>Merchant_014</v>
      </c>
      <c r="J408" t="str">
        <f>_xlfn.IFNA(VLOOKUP(C408,merchants!$A$2:$D$41,3,FALSE),"Merchant not found")</f>
        <v>grocery</v>
      </c>
      <c r="K408" t="str">
        <f>_xlfn.IFNA(VLOOKUP(C408,merchants!$A$2:$D$41,4,FALSE),"Merchant not found")</f>
        <v>East</v>
      </c>
      <c r="L408" s="2">
        <f>HLOOKUP(F408,Fees!$B$1:$E$2,2,FALSE)</f>
        <v>0.01</v>
      </c>
    </row>
    <row r="409" spans="1:12" x14ac:dyDescent="0.3">
      <c r="A409" t="s">
        <v>422</v>
      </c>
      <c r="B409">
        <v>306</v>
      </c>
      <c r="C409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  <c r="I409" t="str">
        <f>_xlfn.IFNA(VLOOKUP(C409,merchants!$A$2:$D$41,2,FALSE),"Merchant not found")</f>
        <v>Merchant_006</v>
      </c>
      <c r="J409" t="str">
        <f>_xlfn.IFNA(VLOOKUP(C409,merchants!$A$2:$D$41,3,FALSE),"Merchant not found")</f>
        <v>food_delivery</v>
      </c>
      <c r="K409" t="str">
        <f>_xlfn.IFNA(VLOOKUP(C409,merchants!$A$2:$D$41,4,FALSE),"Merchant not found")</f>
        <v>South</v>
      </c>
      <c r="L409" s="2">
        <f>HLOOKUP(F409,Fees!$B$1:$E$2,2,FALSE)</f>
        <v>0.01</v>
      </c>
    </row>
    <row r="410" spans="1:12" x14ac:dyDescent="0.3">
      <c r="A410" t="s">
        <v>423</v>
      </c>
      <c r="B410">
        <v>186</v>
      </c>
      <c r="C410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  <c r="I410" t="str">
        <f>_xlfn.IFNA(VLOOKUP(C410,merchants!$A$2:$D$41,2,FALSE),"Merchant not found")</f>
        <v>Merchant_005</v>
      </c>
      <c r="J410" t="str">
        <f>_xlfn.IFNA(VLOOKUP(C410,merchants!$A$2:$D$41,3,FALSE),"Merchant not found")</f>
        <v>recharge</v>
      </c>
      <c r="K410" t="str">
        <f>_xlfn.IFNA(VLOOKUP(C410,merchants!$A$2:$D$41,4,FALSE),"Merchant not found")</f>
        <v>South</v>
      </c>
      <c r="L410" s="2">
        <f>HLOOKUP(F410,Fees!$B$1:$E$2,2,FALSE)</f>
        <v>0</v>
      </c>
    </row>
    <row r="411" spans="1:12" x14ac:dyDescent="0.3">
      <c r="A411" t="s">
        <v>424</v>
      </c>
      <c r="B411">
        <v>281</v>
      </c>
      <c r="C411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  <c r="I411" t="str">
        <f>_xlfn.IFNA(VLOOKUP(C411,merchants!$A$2:$D$41,2,FALSE),"Merchant not found")</f>
        <v>Merchant_033</v>
      </c>
      <c r="J411" t="str">
        <f>_xlfn.IFNA(VLOOKUP(C411,merchants!$A$2:$D$41,3,FALSE),"Merchant not found")</f>
        <v>bill_payment</v>
      </c>
      <c r="K411" t="str">
        <f>_xlfn.IFNA(VLOOKUP(C411,merchants!$A$2:$D$41,4,FALSE),"Merchant not found")</f>
        <v>East</v>
      </c>
      <c r="L411" s="2">
        <f>HLOOKUP(F411,Fees!$B$1:$E$2,2,FALSE)</f>
        <v>0</v>
      </c>
    </row>
    <row r="412" spans="1:12" x14ac:dyDescent="0.3">
      <c r="A412" t="s">
        <v>425</v>
      </c>
      <c r="B412">
        <v>85</v>
      </c>
      <c r="C41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  <c r="I412" t="str">
        <f>_xlfn.IFNA(VLOOKUP(C412,merchants!$A$2:$D$41,2,FALSE),"Merchant not found")</f>
        <v>Merchant_021</v>
      </c>
      <c r="J412" t="str">
        <f>_xlfn.IFNA(VLOOKUP(C412,merchants!$A$2:$D$41,3,FALSE),"Merchant not found")</f>
        <v>food_delivery</v>
      </c>
      <c r="K412" t="str">
        <f>_xlfn.IFNA(VLOOKUP(C412,merchants!$A$2:$D$41,4,FALSE),"Merchant not found")</f>
        <v>East</v>
      </c>
      <c r="L412" s="2">
        <f>HLOOKUP(F412,Fees!$B$1:$E$2,2,FALSE)</f>
        <v>0</v>
      </c>
    </row>
    <row r="413" spans="1:12" x14ac:dyDescent="0.3">
      <c r="A413" t="s">
        <v>426</v>
      </c>
      <c r="B413">
        <v>106</v>
      </c>
      <c r="C413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  <c r="I413" t="str">
        <f>_xlfn.IFNA(VLOOKUP(C413,merchants!$A$2:$D$41,2,FALSE),"Merchant not found")</f>
        <v>Merchant_038</v>
      </c>
      <c r="J413" t="str">
        <f>_xlfn.IFNA(VLOOKUP(C413,merchants!$A$2:$D$41,3,FALSE),"Merchant not found")</f>
        <v>grocery</v>
      </c>
      <c r="K413" t="str">
        <f>_xlfn.IFNA(VLOOKUP(C413,merchants!$A$2:$D$41,4,FALSE),"Merchant not found")</f>
        <v>East</v>
      </c>
      <c r="L413" s="2">
        <f>HLOOKUP(F413,Fees!$B$1:$E$2,2,FALSE)</f>
        <v>0</v>
      </c>
    </row>
    <row r="414" spans="1:12" x14ac:dyDescent="0.3">
      <c r="A414" t="s">
        <v>427</v>
      </c>
      <c r="B414">
        <v>29</v>
      </c>
      <c r="C414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  <c r="I414" t="str">
        <f>_xlfn.IFNA(VLOOKUP(C414,merchants!$A$2:$D$41,2,FALSE),"Merchant not found")</f>
        <v>Merchant_030</v>
      </c>
      <c r="J414" t="str">
        <f>_xlfn.IFNA(VLOOKUP(C414,merchants!$A$2:$D$41,3,FALSE),"Merchant not found")</f>
        <v>travel</v>
      </c>
      <c r="K414" t="str">
        <f>_xlfn.IFNA(VLOOKUP(C414,merchants!$A$2:$D$41,4,FALSE),"Merchant not found")</f>
        <v>West</v>
      </c>
      <c r="L414" s="2">
        <f>HLOOKUP(F414,Fees!$B$1:$E$2,2,FALSE)</f>
        <v>0.01</v>
      </c>
    </row>
    <row r="415" spans="1:12" x14ac:dyDescent="0.3">
      <c r="A415" t="s">
        <v>428</v>
      </c>
      <c r="B415">
        <v>289</v>
      </c>
      <c r="C415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  <c r="I415" t="str">
        <f>_xlfn.IFNA(VLOOKUP(C415,merchants!$A$2:$D$41,2,FALSE),"Merchant not found")</f>
        <v>Merchant_004</v>
      </c>
      <c r="J415" t="str">
        <f>_xlfn.IFNA(VLOOKUP(C415,merchants!$A$2:$D$41,3,FALSE),"Merchant not found")</f>
        <v>ecommerce</v>
      </c>
      <c r="K415" t="str">
        <f>_xlfn.IFNA(VLOOKUP(C415,merchants!$A$2:$D$41,4,FALSE),"Merchant not found")</f>
        <v>East</v>
      </c>
      <c r="L415" s="2">
        <f>HLOOKUP(F415,Fees!$B$1:$E$2,2,FALSE)</f>
        <v>0.02</v>
      </c>
    </row>
    <row r="416" spans="1:12" x14ac:dyDescent="0.3">
      <c r="A416" t="s">
        <v>429</v>
      </c>
      <c r="B416">
        <v>158</v>
      </c>
      <c r="C416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  <c r="I416" t="str">
        <f>_xlfn.IFNA(VLOOKUP(C416,merchants!$A$2:$D$41,2,FALSE),"Merchant not found")</f>
        <v>Merchant_002</v>
      </c>
      <c r="J416" t="str">
        <f>_xlfn.IFNA(VLOOKUP(C416,merchants!$A$2:$D$41,3,FALSE),"Merchant not found")</f>
        <v>grocery</v>
      </c>
      <c r="K416" t="str">
        <f>_xlfn.IFNA(VLOOKUP(C416,merchants!$A$2:$D$41,4,FALSE),"Merchant not found")</f>
        <v>West</v>
      </c>
      <c r="L416" s="2">
        <f>HLOOKUP(F416,Fees!$B$1:$E$2,2,FALSE)</f>
        <v>0.02</v>
      </c>
    </row>
    <row r="417" spans="1:12" x14ac:dyDescent="0.3">
      <c r="A417" t="s">
        <v>430</v>
      </c>
      <c r="B417">
        <v>112</v>
      </c>
      <c r="C417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  <c r="I417" t="str">
        <f>_xlfn.IFNA(VLOOKUP(C417,merchants!$A$2:$D$41,2,FALSE),"Merchant not found")</f>
        <v>Merchant_038</v>
      </c>
      <c r="J417" t="str">
        <f>_xlfn.IFNA(VLOOKUP(C417,merchants!$A$2:$D$41,3,FALSE),"Merchant not found")</f>
        <v>grocery</v>
      </c>
      <c r="K417" t="str">
        <f>_xlfn.IFNA(VLOOKUP(C417,merchants!$A$2:$D$41,4,FALSE),"Merchant not found")</f>
        <v>East</v>
      </c>
      <c r="L417" s="2">
        <f>HLOOKUP(F417,Fees!$B$1:$E$2,2,FALSE)</f>
        <v>0</v>
      </c>
    </row>
    <row r="418" spans="1:12" x14ac:dyDescent="0.3">
      <c r="A418" t="s">
        <v>431</v>
      </c>
      <c r="B418">
        <v>33</v>
      </c>
      <c r="C418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  <c r="I418" t="str">
        <f>_xlfn.IFNA(VLOOKUP(C418,merchants!$A$2:$D$41,2,FALSE),"Merchant not found")</f>
        <v>Merchant_035</v>
      </c>
      <c r="J418" t="str">
        <f>_xlfn.IFNA(VLOOKUP(C418,merchants!$A$2:$D$41,3,FALSE),"Merchant not found")</f>
        <v>recharge</v>
      </c>
      <c r="K418" t="str">
        <f>_xlfn.IFNA(VLOOKUP(C418,merchants!$A$2:$D$41,4,FALSE),"Merchant not found")</f>
        <v>East</v>
      </c>
      <c r="L418" s="2">
        <f>HLOOKUP(F418,Fees!$B$1:$E$2,2,FALSE)</f>
        <v>0.02</v>
      </c>
    </row>
    <row r="419" spans="1:12" x14ac:dyDescent="0.3">
      <c r="A419" t="s">
        <v>432</v>
      </c>
      <c r="B419">
        <v>242</v>
      </c>
      <c r="C419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  <c r="I419" t="str">
        <f>_xlfn.IFNA(VLOOKUP(C419,merchants!$A$2:$D$41,2,FALSE),"Merchant not found")</f>
        <v>Merchant_003</v>
      </c>
      <c r="J419" t="str">
        <f>_xlfn.IFNA(VLOOKUP(C419,merchants!$A$2:$D$41,3,FALSE),"Merchant not found")</f>
        <v>grocery</v>
      </c>
      <c r="K419" t="str">
        <f>_xlfn.IFNA(VLOOKUP(C419,merchants!$A$2:$D$41,4,FALSE),"Merchant not found")</f>
        <v>East</v>
      </c>
      <c r="L419" s="2">
        <f>HLOOKUP(F419,Fees!$B$1:$E$2,2,FALSE)</f>
        <v>0</v>
      </c>
    </row>
    <row r="420" spans="1:12" x14ac:dyDescent="0.3">
      <c r="A420" t="s">
        <v>433</v>
      </c>
      <c r="B420">
        <v>70</v>
      </c>
      <c r="C420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  <c r="I420" t="str">
        <f>_xlfn.IFNA(VLOOKUP(C420,merchants!$A$2:$D$41,2,FALSE),"Merchant not found")</f>
        <v>Merchant_027</v>
      </c>
      <c r="J420" t="str">
        <f>_xlfn.IFNA(VLOOKUP(C420,merchants!$A$2:$D$41,3,FALSE),"Merchant not found")</f>
        <v>ecommerce</v>
      </c>
      <c r="K420" t="str">
        <f>_xlfn.IFNA(VLOOKUP(C420,merchants!$A$2:$D$41,4,FALSE),"Merchant not found")</f>
        <v>North</v>
      </c>
      <c r="L420" s="2">
        <f>HLOOKUP(F420,Fees!$B$1:$E$2,2,FALSE)</f>
        <v>0</v>
      </c>
    </row>
    <row r="421" spans="1:12" x14ac:dyDescent="0.3">
      <c r="A421" t="s">
        <v>434</v>
      </c>
      <c r="B421">
        <v>194</v>
      </c>
      <c r="C421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  <c r="I421" t="str">
        <f>_xlfn.IFNA(VLOOKUP(C421,merchants!$A$2:$D$41,2,FALSE),"Merchant not found")</f>
        <v>Merchant_025</v>
      </c>
      <c r="J421" t="str">
        <f>_xlfn.IFNA(VLOOKUP(C421,merchants!$A$2:$D$41,3,FALSE),"Merchant not found")</f>
        <v>travel</v>
      </c>
      <c r="K421" t="str">
        <f>_xlfn.IFNA(VLOOKUP(C421,merchants!$A$2:$D$41,4,FALSE),"Merchant not found")</f>
        <v>South</v>
      </c>
      <c r="L421" s="2">
        <f>HLOOKUP(F421,Fees!$B$1:$E$2,2,FALSE)</f>
        <v>1.4999999999999999E-2</v>
      </c>
    </row>
    <row r="422" spans="1:12" x14ac:dyDescent="0.3">
      <c r="A422" t="s">
        <v>435</v>
      </c>
      <c r="B422">
        <v>277</v>
      </c>
      <c r="C42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  <c r="I422" t="str">
        <f>_xlfn.IFNA(VLOOKUP(C422,merchants!$A$2:$D$41,2,FALSE),"Merchant not found")</f>
        <v>Merchant_009</v>
      </c>
      <c r="J422" t="str">
        <f>_xlfn.IFNA(VLOOKUP(C422,merchants!$A$2:$D$41,3,FALSE),"Merchant not found")</f>
        <v>ecommerce</v>
      </c>
      <c r="K422" t="str">
        <f>_xlfn.IFNA(VLOOKUP(C422,merchants!$A$2:$D$41,4,FALSE),"Merchant not found")</f>
        <v>North</v>
      </c>
      <c r="L422" s="2">
        <f>HLOOKUP(F422,Fees!$B$1:$E$2,2,FALSE)</f>
        <v>0</v>
      </c>
    </row>
    <row r="423" spans="1:12" x14ac:dyDescent="0.3">
      <c r="A423" t="s">
        <v>436</v>
      </c>
      <c r="B423">
        <v>92</v>
      </c>
      <c r="C423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  <c r="I423" t="str">
        <f>_xlfn.IFNA(VLOOKUP(C423,merchants!$A$2:$D$41,2,FALSE),"Merchant not found")</f>
        <v>Merchant_035</v>
      </c>
      <c r="J423" t="str">
        <f>_xlfn.IFNA(VLOOKUP(C423,merchants!$A$2:$D$41,3,FALSE),"Merchant not found")</f>
        <v>recharge</v>
      </c>
      <c r="K423" t="str">
        <f>_xlfn.IFNA(VLOOKUP(C423,merchants!$A$2:$D$41,4,FALSE),"Merchant not found")</f>
        <v>East</v>
      </c>
      <c r="L423" s="2">
        <f>HLOOKUP(F423,Fees!$B$1:$E$2,2,FALSE)</f>
        <v>0</v>
      </c>
    </row>
    <row r="424" spans="1:12" x14ac:dyDescent="0.3">
      <c r="A424" t="s">
        <v>437</v>
      </c>
      <c r="B424">
        <v>115</v>
      </c>
      <c r="C424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  <c r="I424" t="str">
        <f>_xlfn.IFNA(VLOOKUP(C424,merchants!$A$2:$D$41,2,FALSE),"Merchant not found")</f>
        <v>Merchant_001</v>
      </c>
      <c r="J424" t="str">
        <f>_xlfn.IFNA(VLOOKUP(C424,merchants!$A$2:$D$41,3,FALSE),"Merchant not found")</f>
        <v>ecommerce</v>
      </c>
      <c r="K424" t="str">
        <f>_xlfn.IFNA(VLOOKUP(C424,merchants!$A$2:$D$41,4,FALSE),"Merchant not found")</f>
        <v>South</v>
      </c>
      <c r="L424" s="2">
        <f>HLOOKUP(F424,Fees!$B$1:$E$2,2,FALSE)</f>
        <v>1.4999999999999999E-2</v>
      </c>
    </row>
    <row r="425" spans="1:12" x14ac:dyDescent="0.3">
      <c r="A425" t="s">
        <v>438</v>
      </c>
      <c r="B425">
        <v>345</v>
      </c>
      <c r="C425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  <c r="I425" t="str">
        <f>_xlfn.IFNA(VLOOKUP(C425,merchants!$A$2:$D$41,2,FALSE),"Merchant not found")</f>
        <v>Merchant_035</v>
      </c>
      <c r="J425" t="str">
        <f>_xlfn.IFNA(VLOOKUP(C425,merchants!$A$2:$D$41,3,FALSE),"Merchant not found")</f>
        <v>recharge</v>
      </c>
      <c r="K425" t="str">
        <f>_xlfn.IFNA(VLOOKUP(C425,merchants!$A$2:$D$41,4,FALSE),"Merchant not found")</f>
        <v>East</v>
      </c>
      <c r="L425" s="2">
        <f>HLOOKUP(F425,Fees!$B$1:$E$2,2,FALSE)</f>
        <v>0.02</v>
      </c>
    </row>
    <row r="426" spans="1:12" x14ac:dyDescent="0.3">
      <c r="A426" t="s">
        <v>439</v>
      </c>
      <c r="B426">
        <v>118</v>
      </c>
      <c r="C426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  <c r="I426" t="str">
        <f>_xlfn.IFNA(VLOOKUP(C426,merchants!$A$2:$D$41,2,FALSE),"Merchant not found")</f>
        <v>Merchant_016</v>
      </c>
      <c r="J426" t="str">
        <f>_xlfn.IFNA(VLOOKUP(C426,merchants!$A$2:$D$41,3,FALSE),"Merchant not found")</f>
        <v>bill_payment</v>
      </c>
      <c r="K426" t="str">
        <f>_xlfn.IFNA(VLOOKUP(C426,merchants!$A$2:$D$41,4,FALSE),"Merchant not found")</f>
        <v>West</v>
      </c>
      <c r="L426" s="2">
        <f>HLOOKUP(F426,Fees!$B$1:$E$2,2,FALSE)</f>
        <v>0</v>
      </c>
    </row>
    <row r="427" spans="1:12" x14ac:dyDescent="0.3">
      <c r="A427" t="s">
        <v>440</v>
      </c>
      <c r="B427">
        <v>97</v>
      </c>
      <c r="C427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  <c r="I427" t="str">
        <f>_xlfn.IFNA(VLOOKUP(C427,merchants!$A$2:$D$41,2,FALSE),"Merchant not found")</f>
        <v>Merchant_008</v>
      </c>
      <c r="J427" t="str">
        <f>_xlfn.IFNA(VLOOKUP(C427,merchants!$A$2:$D$41,3,FALSE),"Merchant not found")</f>
        <v>food_delivery</v>
      </c>
      <c r="K427" t="str">
        <f>_xlfn.IFNA(VLOOKUP(C427,merchants!$A$2:$D$41,4,FALSE),"Merchant not found")</f>
        <v>North</v>
      </c>
      <c r="L427" s="2">
        <f>HLOOKUP(F427,Fees!$B$1:$E$2,2,FALSE)</f>
        <v>0.01</v>
      </c>
    </row>
    <row r="428" spans="1:12" x14ac:dyDescent="0.3">
      <c r="A428" t="s">
        <v>441</v>
      </c>
      <c r="B428">
        <v>315</v>
      </c>
      <c r="C428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  <c r="I428" t="str">
        <f>_xlfn.IFNA(VLOOKUP(C428,merchants!$A$2:$D$41,2,FALSE),"Merchant not found")</f>
        <v>Merchant_002</v>
      </c>
      <c r="J428" t="str">
        <f>_xlfn.IFNA(VLOOKUP(C428,merchants!$A$2:$D$41,3,FALSE),"Merchant not found")</f>
        <v>grocery</v>
      </c>
      <c r="K428" t="str">
        <f>_xlfn.IFNA(VLOOKUP(C428,merchants!$A$2:$D$41,4,FALSE),"Merchant not found")</f>
        <v>West</v>
      </c>
      <c r="L428" s="2">
        <f>HLOOKUP(F428,Fees!$B$1:$E$2,2,FALSE)</f>
        <v>1.4999999999999999E-2</v>
      </c>
    </row>
    <row r="429" spans="1:12" x14ac:dyDescent="0.3">
      <c r="A429" t="s">
        <v>442</v>
      </c>
      <c r="B429">
        <v>305</v>
      </c>
      <c r="C429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  <c r="I429" t="str">
        <f>_xlfn.IFNA(VLOOKUP(C429,merchants!$A$2:$D$41,2,FALSE),"Merchant not found")</f>
        <v>Merchant_003</v>
      </c>
      <c r="J429" t="str">
        <f>_xlfn.IFNA(VLOOKUP(C429,merchants!$A$2:$D$41,3,FALSE),"Merchant not found")</f>
        <v>grocery</v>
      </c>
      <c r="K429" t="str">
        <f>_xlfn.IFNA(VLOOKUP(C429,merchants!$A$2:$D$41,4,FALSE),"Merchant not found")</f>
        <v>East</v>
      </c>
      <c r="L429" s="2">
        <f>HLOOKUP(F429,Fees!$B$1:$E$2,2,FALSE)</f>
        <v>0</v>
      </c>
    </row>
    <row r="430" spans="1:12" x14ac:dyDescent="0.3">
      <c r="A430" t="s">
        <v>443</v>
      </c>
      <c r="B430">
        <v>25</v>
      </c>
      <c r="C430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  <c r="I430" t="str">
        <f>_xlfn.IFNA(VLOOKUP(C430,merchants!$A$2:$D$41,2,FALSE),"Merchant not found")</f>
        <v>Merchant_016</v>
      </c>
      <c r="J430" t="str">
        <f>_xlfn.IFNA(VLOOKUP(C430,merchants!$A$2:$D$41,3,FALSE),"Merchant not found")</f>
        <v>bill_payment</v>
      </c>
      <c r="K430" t="str">
        <f>_xlfn.IFNA(VLOOKUP(C430,merchants!$A$2:$D$41,4,FALSE),"Merchant not found")</f>
        <v>West</v>
      </c>
      <c r="L430" s="2">
        <f>HLOOKUP(F430,Fees!$B$1:$E$2,2,FALSE)</f>
        <v>0</v>
      </c>
    </row>
    <row r="431" spans="1:12" x14ac:dyDescent="0.3">
      <c r="A431" t="s">
        <v>444</v>
      </c>
      <c r="B431">
        <v>120</v>
      </c>
      <c r="C431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  <c r="I431" t="str">
        <f>_xlfn.IFNA(VLOOKUP(C431,merchants!$A$2:$D$41,2,FALSE),"Merchant not found")</f>
        <v>Merchant_035</v>
      </c>
      <c r="J431" t="str">
        <f>_xlfn.IFNA(VLOOKUP(C431,merchants!$A$2:$D$41,3,FALSE),"Merchant not found")</f>
        <v>recharge</v>
      </c>
      <c r="K431" t="str">
        <f>_xlfn.IFNA(VLOOKUP(C431,merchants!$A$2:$D$41,4,FALSE),"Merchant not found")</f>
        <v>East</v>
      </c>
      <c r="L431" s="2">
        <f>HLOOKUP(F431,Fees!$B$1:$E$2,2,FALSE)</f>
        <v>0</v>
      </c>
    </row>
    <row r="432" spans="1:12" x14ac:dyDescent="0.3">
      <c r="A432" t="s">
        <v>445</v>
      </c>
      <c r="B432">
        <v>258</v>
      </c>
      <c r="C43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  <c r="I432" t="str">
        <f>_xlfn.IFNA(VLOOKUP(C432,merchants!$A$2:$D$41,2,FALSE),"Merchant not found")</f>
        <v>Merchant_019</v>
      </c>
      <c r="J432" t="str">
        <f>_xlfn.IFNA(VLOOKUP(C432,merchants!$A$2:$D$41,3,FALSE),"Merchant not found")</f>
        <v>grocery</v>
      </c>
      <c r="K432" t="str">
        <f>_xlfn.IFNA(VLOOKUP(C432,merchants!$A$2:$D$41,4,FALSE),"Merchant not found")</f>
        <v>North</v>
      </c>
      <c r="L432" s="2">
        <f>HLOOKUP(F432,Fees!$B$1:$E$2,2,FALSE)</f>
        <v>1.4999999999999999E-2</v>
      </c>
    </row>
    <row r="433" spans="1:12" x14ac:dyDescent="0.3">
      <c r="A433" t="s">
        <v>446</v>
      </c>
      <c r="B433">
        <v>164</v>
      </c>
      <c r="C433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  <c r="I433" t="str">
        <f>_xlfn.IFNA(VLOOKUP(C433,merchants!$A$2:$D$41,2,FALSE),"Merchant not found")</f>
        <v>Merchant_037</v>
      </c>
      <c r="J433" t="str">
        <f>_xlfn.IFNA(VLOOKUP(C433,merchants!$A$2:$D$41,3,FALSE),"Merchant not found")</f>
        <v>entertainment</v>
      </c>
      <c r="K433" t="str">
        <f>_xlfn.IFNA(VLOOKUP(C433,merchants!$A$2:$D$41,4,FALSE),"Merchant not found")</f>
        <v>South</v>
      </c>
      <c r="L433" s="2">
        <f>HLOOKUP(F433,Fees!$B$1:$E$2,2,FALSE)</f>
        <v>0</v>
      </c>
    </row>
    <row r="434" spans="1:12" x14ac:dyDescent="0.3">
      <c r="A434" t="s">
        <v>447</v>
      </c>
      <c r="B434">
        <v>165</v>
      </c>
      <c r="C434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  <c r="I434" t="str">
        <f>_xlfn.IFNA(VLOOKUP(C434,merchants!$A$2:$D$41,2,FALSE),"Merchant not found")</f>
        <v>Merchant_016</v>
      </c>
      <c r="J434" t="str">
        <f>_xlfn.IFNA(VLOOKUP(C434,merchants!$A$2:$D$41,3,FALSE),"Merchant not found")</f>
        <v>bill_payment</v>
      </c>
      <c r="K434" t="str">
        <f>_xlfn.IFNA(VLOOKUP(C434,merchants!$A$2:$D$41,4,FALSE),"Merchant not found")</f>
        <v>West</v>
      </c>
      <c r="L434" s="2">
        <f>HLOOKUP(F434,Fees!$B$1:$E$2,2,FALSE)</f>
        <v>1.4999999999999999E-2</v>
      </c>
    </row>
    <row r="435" spans="1:12" x14ac:dyDescent="0.3">
      <c r="A435" t="s">
        <v>448</v>
      </c>
      <c r="B435">
        <v>267</v>
      </c>
      <c r="C435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  <c r="I435" t="str">
        <f>_xlfn.IFNA(VLOOKUP(C435,merchants!$A$2:$D$41,2,FALSE),"Merchant not found")</f>
        <v>Merchant_015</v>
      </c>
      <c r="J435" t="str">
        <f>_xlfn.IFNA(VLOOKUP(C435,merchants!$A$2:$D$41,3,FALSE),"Merchant not found")</f>
        <v>travel</v>
      </c>
      <c r="K435" t="str">
        <f>_xlfn.IFNA(VLOOKUP(C435,merchants!$A$2:$D$41,4,FALSE),"Merchant not found")</f>
        <v>North</v>
      </c>
      <c r="L435" s="2">
        <f>HLOOKUP(F435,Fees!$B$1:$E$2,2,FALSE)</f>
        <v>0.01</v>
      </c>
    </row>
    <row r="436" spans="1:12" x14ac:dyDescent="0.3">
      <c r="A436" t="s">
        <v>449</v>
      </c>
      <c r="B436">
        <v>286</v>
      </c>
      <c r="C436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  <c r="I436" t="str">
        <f>_xlfn.IFNA(VLOOKUP(C436,merchants!$A$2:$D$41,2,FALSE),"Merchant not found")</f>
        <v>Merchant_038</v>
      </c>
      <c r="J436" t="str">
        <f>_xlfn.IFNA(VLOOKUP(C436,merchants!$A$2:$D$41,3,FALSE),"Merchant not found")</f>
        <v>grocery</v>
      </c>
      <c r="K436" t="str">
        <f>_xlfn.IFNA(VLOOKUP(C436,merchants!$A$2:$D$41,4,FALSE),"Merchant not found")</f>
        <v>East</v>
      </c>
      <c r="L436" s="2">
        <f>HLOOKUP(F436,Fees!$B$1:$E$2,2,FALSE)</f>
        <v>1.4999999999999999E-2</v>
      </c>
    </row>
    <row r="437" spans="1:12" x14ac:dyDescent="0.3">
      <c r="A437" t="s">
        <v>450</v>
      </c>
      <c r="B437">
        <v>348</v>
      </c>
      <c r="C437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  <c r="I437" t="str">
        <f>_xlfn.IFNA(VLOOKUP(C437,merchants!$A$2:$D$41,2,FALSE),"Merchant not found")</f>
        <v>Merchant_028</v>
      </c>
      <c r="J437" t="str">
        <f>_xlfn.IFNA(VLOOKUP(C437,merchants!$A$2:$D$41,3,FALSE),"Merchant not found")</f>
        <v>ecommerce</v>
      </c>
      <c r="K437" t="str">
        <f>_xlfn.IFNA(VLOOKUP(C437,merchants!$A$2:$D$41,4,FALSE),"Merchant not found")</f>
        <v>South</v>
      </c>
      <c r="L437" s="2">
        <f>HLOOKUP(F437,Fees!$B$1:$E$2,2,FALSE)</f>
        <v>0.02</v>
      </c>
    </row>
    <row r="438" spans="1:12" x14ac:dyDescent="0.3">
      <c r="A438" t="s">
        <v>451</v>
      </c>
      <c r="B438">
        <v>330</v>
      </c>
      <c r="C438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  <c r="I438" t="str">
        <f>_xlfn.IFNA(VLOOKUP(C438,merchants!$A$2:$D$41,2,FALSE),"Merchant not found")</f>
        <v>Merchant_025</v>
      </c>
      <c r="J438" t="str">
        <f>_xlfn.IFNA(VLOOKUP(C438,merchants!$A$2:$D$41,3,FALSE),"Merchant not found")</f>
        <v>travel</v>
      </c>
      <c r="K438" t="str">
        <f>_xlfn.IFNA(VLOOKUP(C438,merchants!$A$2:$D$41,4,FALSE),"Merchant not found")</f>
        <v>South</v>
      </c>
      <c r="L438" s="2">
        <f>HLOOKUP(F438,Fees!$B$1:$E$2,2,FALSE)</f>
        <v>0</v>
      </c>
    </row>
    <row r="439" spans="1:12" x14ac:dyDescent="0.3">
      <c r="A439" t="s">
        <v>452</v>
      </c>
      <c r="B439">
        <v>214</v>
      </c>
      <c r="C439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  <c r="I439" t="str">
        <f>_xlfn.IFNA(VLOOKUP(C439,merchants!$A$2:$D$41,2,FALSE),"Merchant not found")</f>
        <v>Merchant_027</v>
      </c>
      <c r="J439" t="str">
        <f>_xlfn.IFNA(VLOOKUP(C439,merchants!$A$2:$D$41,3,FALSE),"Merchant not found")</f>
        <v>ecommerce</v>
      </c>
      <c r="K439" t="str">
        <f>_xlfn.IFNA(VLOOKUP(C439,merchants!$A$2:$D$41,4,FALSE),"Merchant not found")</f>
        <v>North</v>
      </c>
      <c r="L439" s="2">
        <f>HLOOKUP(F439,Fees!$B$1:$E$2,2,FALSE)</f>
        <v>0.02</v>
      </c>
    </row>
    <row r="440" spans="1:12" x14ac:dyDescent="0.3">
      <c r="A440" t="s">
        <v>453</v>
      </c>
      <c r="B440">
        <v>276</v>
      </c>
      <c r="C440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  <c r="I440" t="str">
        <f>_xlfn.IFNA(VLOOKUP(C440,merchants!$A$2:$D$41,2,FALSE),"Merchant not found")</f>
        <v>Merchant_031</v>
      </c>
      <c r="J440" t="str">
        <f>_xlfn.IFNA(VLOOKUP(C440,merchants!$A$2:$D$41,3,FALSE),"Merchant not found")</f>
        <v>bill_payment</v>
      </c>
      <c r="K440" t="str">
        <f>_xlfn.IFNA(VLOOKUP(C440,merchants!$A$2:$D$41,4,FALSE),"Merchant not found")</f>
        <v>East</v>
      </c>
      <c r="L440" s="2">
        <f>HLOOKUP(F440,Fees!$B$1:$E$2,2,FALSE)</f>
        <v>0</v>
      </c>
    </row>
    <row r="441" spans="1:12" x14ac:dyDescent="0.3">
      <c r="A441" t="s">
        <v>454</v>
      </c>
      <c r="B441">
        <v>74</v>
      </c>
      <c r="C441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  <c r="I441" t="str">
        <f>_xlfn.IFNA(VLOOKUP(C441,merchants!$A$2:$D$41,2,FALSE),"Merchant not found")</f>
        <v>Merchant_030</v>
      </c>
      <c r="J441" t="str">
        <f>_xlfn.IFNA(VLOOKUP(C441,merchants!$A$2:$D$41,3,FALSE),"Merchant not found")</f>
        <v>travel</v>
      </c>
      <c r="K441" t="str">
        <f>_xlfn.IFNA(VLOOKUP(C441,merchants!$A$2:$D$41,4,FALSE),"Merchant not found")</f>
        <v>West</v>
      </c>
      <c r="L441" s="2">
        <f>HLOOKUP(F441,Fees!$B$1:$E$2,2,FALSE)</f>
        <v>0</v>
      </c>
    </row>
    <row r="442" spans="1:12" x14ac:dyDescent="0.3">
      <c r="A442" t="s">
        <v>455</v>
      </c>
      <c r="B442">
        <v>286</v>
      </c>
      <c r="C44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  <c r="I442" t="str">
        <f>_xlfn.IFNA(VLOOKUP(C442,merchants!$A$2:$D$41,2,FALSE),"Merchant not found")</f>
        <v>Merchant_034</v>
      </c>
      <c r="J442" t="str">
        <f>_xlfn.IFNA(VLOOKUP(C442,merchants!$A$2:$D$41,3,FALSE),"Merchant not found")</f>
        <v>travel</v>
      </c>
      <c r="K442" t="str">
        <f>_xlfn.IFNA(VLOOKUP(C442,merchants!$A$2:$D$41,4,FALSE),"Merchant not found")</f>
        <v>South</v>
      </c>
      <c r="L442" s="2">
        <f>HLOOKUP(F442,Fees!$B$1:$E$2,2,FALSE)</f>
        <v>0.02</v>
      </c>
    </row>
    <row r="443" spans="1:12" x14ac:dyDescent="0.3">
      <c r="A443" t="s">
        <v>456</v>
      </c>
      <c r="B443">
        <v>105</v>
      </c>
      <c r="C443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  <c r="I443" t="str">
        <f>_xlfn.IFNA(VLOOKUP(C443,merchants!$A$2:$D$41,2,FALSE),"Merchant not found")</f>
        <v>Merchant_022</v>
      </c>
      <c r="J443" t="str">
        <f>_xlfn.IFNA(VLOOKUP(C443,merchants!$A$2:$D$41,3,FALSE),"Merchant not found")</f>
        <v>travel</v>
      </c>
      <c r="K443" t="str">
        <f>_xlfn.IFNA(VLOOKUP(C443,merchants!$A$2:$D$41,4,FALSE),"Merchant not found")</f>
        <v>South</v>
      </c>
      <c r="L443" s="2">
        <f>HLOOKUP(F443,Fees!$B$1:$E$2,2,FALSE)</f>
        <v>0</v>
      </c>
    </row>
    <row r="444" spans="1:12" x14ac:dyDescent="0.3">
      <c r="A444" t="s">
        <v>457</v>
      </c>
      <c r="B444">
        <v>190</v>
      </c>
      <c r="C444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  <c r="I444" t="str">
        <f>_xlfn.IFNA(VLOOKUP(C444,merchants!$A$2:$D$41,2,FALSE),"Merchant not found")</f>
        <v>Merchant_006</v>
      </c>
      <c r="J444" t="str">
        <f>_xlfn.IFNA(VLOOKUP(C444,merchants!$A$2:$D$41,3,FALSE),"Merchant not found")</f>
        <v>food_delivery</v>
      </c>
      <c r="K444" t="str">
        <f>_xlfn.IFNA(VLOOKUP(C444,merchants!$A$2:$D$41,4,FALSE),"Merchant not found")</f>
        <v>South</v>
      </c>
      <c r="L444" s="2">
        <f>HLOOKUP(F444,Fees!$B$1:$E$2,2,FALSE)</f>
        <v>1.4999999999999999E-2</v>
      </c>
    </row>
    <row r="445" spans="1:12" x14ac:dyDescent="0.3">
      <c r="A445" t="s">
        <v>458</v>
      </c>
      <c r="B445">
        <v>138</v>
      </c>
      <c r="C445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  <c r="I445" t="str">
        <f>_xlfn.IFNA(VLOOKUP(C445,merchants!$A$2:$D$41,2,FALSE),"Merchant not found")</f>
        <v>Merchant_025</v>
      </c>
      <c r="J445" t="str">
        <f>_xlfn.IFNA(VLOOKUP(C445,merchants!$A$2:$D$41,3,FALSE),"Merchant not found")</f>
        <v>travel</v>
      </c>
      <c r="K445" t="str">
        <f>_xlfn.IFNA(VLOOKUP(C445,merchants!$A$2:$D$41,4,FALSE),"Merchant not found")</f>
        <v>South</v>
      </c>
      <c r="L445" s="2">
        <f>HLOOKUP(F445,Fees!$B$1:$E$2,2,FALSE)</f>
        <v>1.4999999999999999E-2</v>
      </c>
    </row>
    <row r="446" spans="1:12" x14ac:dyDescent="0.3">
      <c r="A446" t="s">
        <v>459</v>
      </c>
      <c r="B446">
        <v>38</v>
      </c>
      <c r="C446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  <c r="I446" t="str">
        <f>_xlfn.IFNA(VLOOKUP(C446,merchants!$A$2:$D$41,2,FALSE),"Merchant not found")</f>
        <v>Merchant_013</v>
      </c>
      <c r="J446" t="str">
        <f>_xlfn.IFNA(VLOOKUP(C446,merchants!$A$2:$D$41,3,FALSE),"Merchant not found")</f>
        <v>travel</v>
      </c>
      <c r="K446" t="str">
        <f>_xlfn.IFNA(VLOOKUP(C446,merchants!$A$2:$D$41,4,FALSE),"Merchant not found")</f>
        <v>East</v>
      </c>
      <c r="L446" s="2">
        <f>HLOOKUP(F446,Fees!$B$1:$E$2,2,FALSE)</f>
        <v>0.01</v>
      </c>
    </row>
    <row r="447" spans="1:12" x14ac:dyDescent="0.3">
      <c r="A447" t="s">
        <v>460</v>
      </c>
      <c r="B447">
        <v>287</v>
      </c>
      <c r="C447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  <c r="I447" t="str">
        <f>_xlfn.IFNA(VLOOKUP(C447,merchants!$A$2:$D$41,2,FALSE),"Merchant not found")</f>
        <v>Merchant_014</v>
      </c>
      <c r="J447" t="str">
        <f>_xlfn.IFNA(VLOOKUP(C447,merchants!$A$2:$D$41,3,FALSE),"Merchant not found")</f>
        <v>grocery</v>
      </c>
      <c r="K447" t="str">
        <f>_xlfn.IFNA(VLOOKUP(C447,merchants!$A$2:$D$41,4,FALSE),"Merchant not found")</f>
        <v>East</v>
      </c>
      <c r="L447" s="2">
        <f>HLOOKUP(F447,Fees!$B$1:$E$2,2,FALSE)</f>
        <v>1.4999999999999999E-2</v>
      </c>
    </row>
    <row r="448" spans="1:12" x14ac:dyDescent="0.3">
      <c r="A448" t="s">
        <v>461</v>
      </c>
      <c r="B448">
        <v>8</v>
      </c>
      <c r="C448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  <c r="I448" t="str">
        <f>_xlfn.IFNA(VLOOKUP(C448,merchants!$A$2:$D$41,2,FALSE),"Merchant not found")</f>
        <v>Merchant_014</v>
      </c>
      <c r="J448" t="str">
        <f>_xlfn.IFNA(VLOOKUP(C448,merchants!$A$2:$D$41,3,FALSE),"Merchant not found")</f>
        <v>grocery</v>
      </c>
      <c r="K448" t="str">
        <f>_xlfn.IFNA(VLOOKUP(C448,merchants!$A$2:$D$41,4,FALSE),"Merchant not found")</f>
        <v>East</v>
      </c>
      <c r="L448" s="2">
        <f>HLOOKUP(F448,Fees!$B$1:$E$2,2,FALSE)</f>
        <v>0</v>
      </c>
    </row>
    <row r="449" spans="1:12" x14ac:dyDescent="0.3">
      <c r="A449" t="s">
        <v>462</v>
      </c>
      <c r="B449">
        <v>246</v>
      </c>
      <c r="C449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  <c r="I449" t="str">
        <f>_xlfn.IFNA(VLOOKUP(C449,merchants!$A$2:$D$41,2,FALSE),"Merchant not found")</f>
        <v>Merchant_016</v>
      </c>
      <c r="J449" t="str">
        <f>_xlfn.IFNA(VLOOKUP(C449,merchants!$A$2:$D$41,3,FALSE),"Merchant not found")</f>
        <v>bill_payment</v>
      </c>
      <c r="K449" t="str">
        <f>_xlfn.IFNA(VLOOKUP(C449,merchants!$A$2:$D$41,4,FALSE),"Merchant not found")</f>
        <v>West</v>
      </c>
      <c r="L449" s="2">
        <f>HLOOKUP(F449,Fees!$B$1:$E$2,2,FALSE)</f>
        <v>1.4999999999999999E-2</v>
      </c>
    </row>
    <row r="450" spans="1:12" x14ac:dyDescent="0.3">
      <c r="A450" t="s">
        <v>463</v>
      </c>
      <c r="B450">
        <v>204</v>
      </c>
      <c r="C450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  <c r="I450" t="str">
        <f>_xlfn.IFNA(VLOOKUP(C450,merchants!$A$2:$D$41,2,FALSE),"Merchant not found")</f>
        <v>Merchant_016</v>
      </c>
      <c r="J450" t="str">
        <f>_xlfn.IFNA(VLOOKUP(C450,merchants!$A$2:$D$41,3,FALSE),"Merchant not found")</f>
        <v>bill_payment</v>
      </c>
      <c r="K450" t="str">
        <f>_xlfn.IFNA(VLOOKUP(C450,merchants!$A$2:$D$41,4,FALSE),"Merchant not found")</f>
        <v>West</v>
      </c>
      <c r="L450" s="2">
        <f>HLOOKUP(F450,Fees!$B$1:$E$2,2,FALSE)</f>
        <v>0</v>
      </c>
    </row>
    <row r="451" spans="1:12" x14ac:dyDescent="0.3">
      <c r="A451" t="s">
        <v>464</v>
      </c>
      <c r="B451">
        <v>239</v>
      </c>
      <c r="C451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  <c r="I451" t="str">
        <f>_xlfn.IFNA(VLOOKUP(C451,merchants!$A$2:$D$41,2,FALSE),"Merchant not found")</f>
        <v>Merchant_035</v>
      </c>
      <c r="J451" t="str">
        <f>_xlfn.IFNA(VLOOKUP(C451,merchants!$A$2:$D$41,3,FALSE),"Merchant not found")</f>
        <v>recharge</v>
      </c>
      <c r="K451" t="str">
        <f>_xlfn.IFNA(VLOOKUP(C451,merchants!$A$2:$D$41,4,FALSE),"Merchant not found")</f>
        <v>East</v>
      </c>
      <c r="L451" s="2">
        <f>HLOOKUP(F451,Fees!$B$1:$E$2,2,FALSE)</f>
        <v>0</v>
      </c>
    </row>
    <row r="452" spans="1:12" x14ac:dyDescent="0.3">
      <c r="A452" t="s">
        <v>465</v>
      </c>
      <c r="B452">
        <v>185</v>
      </c>
      <c r="C45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  <c r="I452" t="str">
        <f>_xlfn.IFNA(VLOOKUP(C452,merchants!$A$2:$D$41,2,FALSE),"Merchant not found")</f>
        <v>Merchant_033</v>
      </c>
      <c r="J452" t="str">
        <f>_xlfn.IFNA(VLOOKUP(C452,merchants!$A$2:$D$41,3,FALSE),"Merchant not found")</f>
        <v>bill_payment</v>
      </c>
      <c r="K452" t="str">
        <f>_xlfn.IFNA(VLOOKUP(C452,merchants!$A$2:$D$41,4,FALSE),"Merchant not found")</f>
        <v>East</v>
      </c>
      <c r="L452" s="2">
        <f>HLOOKUP(F452,Fees!$B$1:$E$2,2,FALSE)</f>
        <v>0</v>
      </c>
    </row>
    <row r="453" spans="1:12" x14ac:dyDescent="0.3">
      <c r="A453" t="s">
        <v>466</v>
      </c>
      <c r="B453">
        <v>241</v>
      </c>
      <c r="C453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  <c r="I453" t="str">
        <f>_xlfn.IFNA(VLOOKUP(C453,merchants!$A$2:$D$41,2,FALSE),"Merchant not found")</f>
        <v>Merchant_021</v>
      </c>
      <c r="J453" t="str">
        <f>_xlfn.IFNA(VLOOKUP(C453,merchants!$A$2:$D$41,3,FALSE),"Merchant not found")</f>
        <v>food_delivery</v>
      </c>
      <c r="K453" t="str">
        <f>_xlfn.IFNA(VLOOKUP(C453,merchants!$A$2:$D$41,4,FALSE),"Merchant not found")</f>
        <v>East</v>
      </c>
      <c r="L453" s="2">
        <f>HLOOKUP(F453,Fees!$B$1:$E$2,2,FALSE)</f>
        <v>0.02</v>
      </c>
    </row>
    <row r="454" spans="1:12" x14ac:dyDescent="0.3">
      <c r="A454" t="s">
        <v>467</v>
      </c>
      <c r="B454">
        <v>24</v>
      </c>
      <c r="C454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  <c r="I454" t="str">
        <f>_xlfn.IFNA(VLOOKUP(C454,merchants!$A$2:$D$41,2,FALSE),"Merchant not found")</f>
        <v>Merchant_037</v>
      </c>
      <c r="J454" t="str">
        <f>_xlfn.IFNA(VLOOKUP(C454,merchants!$A$2:$D$41,3,FALSE),"Merchant not found")</f>
        <v>entertainment</v>
      </c>
      <c r="K454" t="str">
        <f>_xlfn.IFNA(VLOOKUP(C454,merchants!$A$2:$D$41,4,FALSE),"Merchant not found")</f>
        <v>South</v>
      </c>
      <c r="L454" s="2">
        <f>HLOOKUP(F454,Fees!$B$1:$E$2,2,FALSE)</f>
        <v>0</v>
      </c>
    </row>
    <row r="455" spans="1:12" x14ac:dyDescent="0.3">
      <c r="A455" t="s">
        <v>468</v>
      </c>
      <c r="B455">
        <v>134</v>
      </c>
      <c r="C455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  <c r="I455" t="str">
        <f>_xlfn.IFNA(VLOOKUP(C455,merchants!$A$2:$D$41,2,FALSE),"Merchant not found")</f>
        <v>Merchant_036</v>
      </c>
      <c r="J455" t="str">
        <f>_xlfn.IFNA(VLOOKUP(C455,merchants!$A$2:$D$41,3,FALSE),"Merchant not found")</f>
        <v>entertainment</v>
      </c>
      <c r="K455" t="str">
        <f>_xlfn.IFNA(VLOOKUP(C455,merchants!$A$2:$D$41,4,FALSE),"Merchant not found")</f>
        <v>East</v>
      </c>
      <c r="L455" s="2">
        <f>HLOOKUP(F455,Fees!$B$1:$E$2,2,FALSE)</f>
        <v>0</v>
      </c>
    </row>
    <row r="456" spans="1:12" x14ac:dyDescent="0.3">
      <c r="A456" t="s">
        <v>469</v>
      </c>
      <c r="B456">
        <v>152</v>
      </c>
      <c r="C456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  <c r="I456" t="str">
        <f>_xlfn.IFNA(VLOOKUP(C456,merchants!$A$2:$D$41,2,FALSE),"Merchant not found")</f>
        <v>Merchant_010</v>
      </c>
      <c r="J456" t="str">
        <f>_xlfn.IFNA(VLOOKUP(C456,merchants!$A$2:$D$41,3,FALSE),"Merchant not found")</f>
        <v>grocery</v>
      </c>
      <c r="K456" t="str">
        <f>_xlfn.IFNA(VLOOKUP(C456,merchants!$A$2:$D$41,4,FALSE),"Merchant not found")</f>
        <v>West</v>
      </c>
      <c r="L456" s="2">
        <f>HLOOKUP(F456,Fees!$B$1:$E$2,2,FALSE)</f>
        <v>1.4999999999999999E-2</v>
      </c>
    </row>
    <row r="457" spans="1:12" x14ac:dyDescent="0.3">
      <c r="A457" t="s">
        <v>470</v>
      </c>
      <c r="B457">
        <v>292</v>
      </c>
      <c r="C457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  <c r="I457" t="str">
        <f>_xlfn.IFNA(VLOOKUP(C457,merchants!$A$2:$D$41,2,FALSE),"Merchant not found")</f>
        <v>Merchant_016</v>
      </c>
      <c r="J457" t="str">
        <f>_xlfn.IFNA(VLOOKUP(C457,merchants!$A$2:$D$41,3,FALSE),"Merchant not found")</f>
        <v>bill_payment</v>
      </c>
      <c r="K457" t="str">
        <f>_xlfn.IFNA(VLOOKUP(C457,merchants!$A$2:$D$41,4,FALSE),"Merchant not found")</f>
        <v>West</v>
      </c>
      <c r="L457" s="2">
        <f>HLOOKUP(F457,Fees!$B$1:$E$2,2,FALSE)</f>
        <v>0.01</v>
      </c>
    </row>
    <row r="458" spans="1:12" x14ac:dyDescent="0.3">
      <c r="A458" t="s">
        <v>471</v>
      </c>
      <c r="B458">
        <v>173</v>
      </c>
      <c r="C458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  <c r="I458" t="str">
        <f>_xlfn.IFNA(VLOOKUP(C458,merchants!$A$2:$D$41,2,FALSE),"Merchant not found")</f>
        <v>Merchant_017</v>
      </c>
      <c r="J458" t="str">
        <f>_xlfn.IFNA(VLOOKUP(C458,merchants!$A$2:$D$41,3,FALSE),"Merchant not found")</f>
        <v>grocery</v>
      </c>
      <c r="K458" t="str">
        <f>_xlfn.IFNA(VLOOKUP(C458,merchants!$A$2:$D$41,4,FALSE),"Merchant not found")</f>
        <v>North</v>
      </c>
      <c r="L458" s="2">
        <f>HLOOKUP(F458,Fees!$B$1:$E$2,2,FALSE)</f>
        <v>0.01</v>
      </c>
    </row>
    <row r="459" spans="1:12" x14ac:dyDescent="0.3">
      <c r="A459" t="s">
        <v>472</v>
      </c>
      <c r="B459">
        <v>329</v>
      </c>
      <c r="C459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  <c r="I459" t="str">
        <f>_xlfn.IFNA(VLOOKUP(C459,merchants!$A$2:$D$41,2,FALSE),"Merchant not found")</f>
        <v>Merchant_032</v>
      </c>
      <c r="J459" t="str">
        <f>_xlfn.IFNA(VLOOKUP(C459,merchants!$A$2:$D$41,3,FALSE),"Merchant not found")</f>
        <v>food_delivery</v>
      </c>
      <c r="K459" t="str">
        <f>_xlfn.IFNA(VLOOKUP(C459,merchants!$A$2:$D$41,4,FALSE),"Merchant not found")</f>
        <v>West</v>
      </c>
      <c r="L459" s="2">
        <f>HLOOKUP(F459,Fees!$B$1:$E$2,2,FALSE)</f>
        <v>0</v>
      </c>
    </row>
    <row r="460" spans="1:12" x14ac:dyDescent="0.3">
      <c r="A460" t="s">
        <v>473</v>
      </c>
      <c r="B460">
        <v>181</v>
      </c>
      <c r="C460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  <c r="I460" t="str">
        <f>_xlfn.IFNA(VLOOKUP(C460,merchants!$A$2:$D$41,2,FALSE),"Merchant not found")</f>
        <v>Merchant_011</v>
      </c>
      <c r="J460" t="str">
        <f>_xlfn.IFNA(VLOOKUP(C460,merchants!$A$2:$D$41,3,FALSE),"Merchant not found")</f>
        <v>ecommerce</v>
      </c>
      <c r="K460" t="str">
        <f>_xlfn.IFNA(VLOOKUP(C460,merchants!$A$2:$D$41,4,FALSE),"Merchant not found")</f>
        <v>North</v>
      </c>
      <c r="L460" s="2">
        <f>HLOOKUP(F460,Fees!$B$1:$E$2,2,FALSE)</f>
        <v>0</v>
      </c>
    </row>
    <row r="461" spans="1:12" x14ac:dyDescent="0.3">
      <c r="A461" t="s">
        <v>474</v>
      </c>
      <c r="B461">
        <v>95</v>
      </c>
      <c r="C461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  <c r="I461" t="str">
        <f>_xlfn.IFNA(VLOOKUP(C461,merchants!$A$2:$D$41,2,FALSE),"Merchant not found")</f>
        <v>Merchant_035</v>
      </c>
      <c r="J461" t="str">
        <f>_xlfn.IFNA(VLOOKUP(C461,merchants!$A$2:$D$41,3,FALSE),"Merchant not found")</f>
        <v>recharge</v>
      </c>
      <c r="K461" t="str">
        <f>_xlfn.IFNA(VLOOKUP(C461,merchants!$A$2:$D$41,4,FALSE),"Merchant not found")</f>
        <v>East</v>
      </c>
      <c r="L461" s="2">
        <f>HLOOKUP(F461,Fees!$B$1:$E$2,2,FALSE)</f>
        <v>1.4999999999999999E-2</v>
      </c>
    </row>
    <row r="462" spans="1:12" x14ac:dyDescent="0.3">
      <c r="A462" t="s">
        <v>475</v>
      </c>
      <c r="B462">
        <v>39</v>
      </c>
      <c r="C46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  <c r="I462" t="str">
        <f>_xlfn.IFNA(VLOOKUP(C462,merchants!$A$2:$D$41,2,FALSE),"Merchant not found")</f>
        <v>Merchant_004</v>
      </c>
      <c r="J462" t="str">
        <f>_xlfn.IFNA(VLOOKUP(C462,merchants!$A$2:$D$41,3,FALSE),"Merchant not found")</f>
        <v>ecommerce</v>
      </c>
      <c r="K462" t="str">
        <f>_xlfn.IFNA(VLOOKUP(C462,merchants!$A$2:$D$41,4,FALSE),"Merchant not found")</f>
        <v>East</v>
      </c>
      <c r="L462" s="2">
        <f>HLOOKUP(F462,Fees!$B$1:$E$2,2,FALSE)</f>
        <v>0.01</v>
      </c>
    </row>
    <row r="463" spans="1:12" x14ac:dyDescent="0.3">
      <c r="A463" t="s">
        <v>476</v>
      </c>
      <c r="B463">
        <v>323</v>
      </c>
      <c r="C463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  <c r="I463" t="str">
        <f>_xlfn.IFNA(VLOOKUP(C463,merchants!$A$2:$D$41,2,FALSE),"Merchant not found")</f>
        <v>Merchant_015</v>
      </c>
      <c r="J463" t="str">
        <f>_xlfn.IFNA(VLOOKUP(C463,merchants!$A$2:$D$41,3,FALSE),"Merchant not found")</f>
        <v>travel</v>
      </c>
      <c r="K463" t="str">
        <f>_xlfn.IFNA(VLOOKUP(C463,merchants!$A$2:$D$41,4,FALSE),"Merchant not found")</f>
        <v>North</v>
      </c>
      <c r="L463" s="2">
        <f>HLOOKUP(F463,Fees!$B$1:$E$2,2,FALSE)</f>
        <v>0</v>
      </c>
    </row>
    <row r="464" spans="1:12" x14ac:dyDescent="0.3">
      <c r="A464" t="s">
        <v>477</v>
      </c>
      <c r="B464">
        <v>112</v>
      </c>
      <c r="C464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  <c r="I464" t="str">
        <f>_xlfn.IFNA(VLOOKUP(C464,merchants!$A$2:$D$41,2,FALSE),"Merchant not found")</f>
        <v>Merchant_033</v>
      </c>
      <c r="J464" t="str">
        <f>_xlfn.IFNA(VLOOKUP(C464,merchants!$A$2:$D$41,3,FALSE),"Merchant not found")</f>
        <v>bill_payment</v>
      </c>
      <c r="K464" t="str">
        <f>_xlfn.IFNA(VLOOKUP(C464,merchants!$A$2:$D$41,4,FALSE),"Merchant not found")</f>
        <v>East</v>
      </c>
      <c r="L464" s="2">
        <f>HLOOKUP(F464,Fees!$B$1:$E$2,2,FALSE)</f>
        <v>0.01</v>
      </c>
    </row>
    <row r="465" spans="1:12" x14ac:dyDescent="0.3">
      <c r="A465" t="s">
        <v>478</v>
      </c>
      <c r="B465">
        <v>327</v>
      </c>
      <c r="C465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  <c r="I465" t="str">
        <f>_xlfn.IFNA(VLOOKUP(C465,merchants!$A$2:$D$41,2,FALSE),"Merchant not found")</f>
        <v>Merchant_040</v>
      </c>
      <c r="J465" t="str">
        <f>_xlfn.IFNA(VLOOKUP(C465,merchants!$A$2:$D$41,3,FALSE),"Merchant not found")</f>
        <v>entertainment</v>
      </c>
      <c r="K465" t="str">
        <f>_xlfn.IFNA(VLOOKUP(C465,merchants!$A$2:$D$41,4,FALSE),"Merchant not found")</f>
        <v>South</v>
      </c>
      <c r="L465" s="2">
        <f>HLOOKUP(F465,Fees!$B$1:$E$2,2,FALSE)</f>
        <v>0</v>
      </c>
    </row>
    <row r="466" spans="1:12" x14ac:dyDescent="0.3">
      <c r="A466" t="s">
        <v>479</v>
      </c>
      <c r="B466">
        <v>4</v>
      </c>
      <c r="C466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  <c r="I466" t="str">
        <f>_xlfn.IFNA(VLOOKUP(C466,merchants!$A$2:$D$41,2,FALSE),"Merchant not found")</f>
        <v>Merchant_035</v>
      </c>
      <c r="J466" t="str">
        <f>_xlfn.IFNA(VLOOKUP(C466,merchants!$A$2:$D$41,3,FALSE),"Merchant not found")</f>
        <v>recharge</v>
      </c>
      <c r="K466" t="str">
        <f>_xlfn.IFNA(VLOOKUP(C466,merchants!$A$2:$D$41,4,FALSE),"Merchant not found")</f>
        <v>East</v>
      </c>
      <c r="L466" s="2">
        <f>HLOOKUP(F466,Fees!$B$1:$E$2,2,FALSE)</f>
        <v>0</v>
      </c>
    </row>
    <row r="467" spans="1:12" x14ac:dyDescent="0.3">
      <c r="A467" t="s">
        <v>480</v>
      </c>
      <c r="B467">
        <v>272</v>
      </c>
      <c r="C467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  <c r="I467" t="str">
        <f>_xlfn.IFNA(VLOOKUP(C467,merchants!$A$2:$D$41,2,FALSE),"Merchant not found")</f>
        <v>Merchant_018</v>
      </c>
      <c r="J467" t="str">
        <f>_xlfn.IFNA(VLOOKUP(C467,merchants!$A$2:$D$41,3,FALSE),"Merchant not found")</f>
        <v>grocery</v>
      </c>
      <c r="K467" t="str">
        <f>_xlfn.IFNA(VLOOKUP(C467,merchants!$A$2:$D$41,4,FALSE),"Merchant not found")</f>
        <v>West</v>
      </c>
      <c r="L467" s="2">
        <f>HLOOKUP(F467,Fees!$B$1:$E$2,2,FALSE)</f>
        <v>0</v>
      </c>
    </row>
    <row r="468" spans="1:12" x14ac:dyDescent="0.3">
      <c r="A468" t="s">
        <v>481</v>
      </c>
      <c r="B468">
        <v>346</v>
      </c>
      <c r="C468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  <c r="I468" t="str">
        <f>_xlfn.IFNA(VLOOKUP(C468,merchants!$A$2:$D$41,2,FALSE),"Merchant not found")</f>
        <v>Merchant_028</v>
      </c>
      <c r="J468" t="str">
        <f>_xlfn.IFNA(VLOOKUP(C468,merchants!$A$2:$D$41,3,FALSE),"Merchant not found")</f>
        <v>ecommerce</v>
      </c>
      <c r="K468" t="str">
        <f>_xlfn.IFNA(VLOOKUP(C468,merchants!$A$2:$D$41,4,FALSE),"Merchant not found")</f>
        <v>South</v>
      </c>
      <c r="L468" s="2">
        <f>HLOOKUP(F468,Fees!$B$1:$E$2,2,FALSE)</f>
        <v>0</v>
      </c>
    </row>
    <row r="469" spans="1:12" x14ac:dyDescent="0.3">
      <c r="A469" t="s">
        <v>482</v>
      </c>
      <c r="B469">
        <v>77</v>
      </c>
      <c r="C469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  <c r="I469" t="str">
        <f>_xlfn.IFNA(VLOOKUP(C469,merchants!$A$2:$D$41,2,FALSE),"Merchant not found")</f>
        <v>Merchant_016</v>
      </c>
      <c r="J469" t="str">
        <f>_xlfn.IFNA(VLOOKUP(C469,merchants!$A$2:$D$41,3,FALSE),"Merchant not found")</f>
        <v>bill_payment</v>
      </c>
      <c r="K469" t="str">
        <f>_xlfn.IFNA(VLOOKUP(C469,merchants!$A$2:$D$41,4,FALSE),"Merchant not found")</f>
        <v>West</v>
      </c>
      <c r="L469" s="2">
        <f>HLOOKUP(F469,Fees!$B$1:$E$2,2,FALSE)</f>
        <v>1.4999999999999999E-2</v>
      </c>
    </row>
    <row r="470" spans="1:12" x14ac:dyDescent="0.3">
      <c r="A470" t="s">
        <v>483</v>
      </c>
      <c r="B470">
        <v>182</v>
      </c>
      <c r="C470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  <c r="I470" t="str">
        <f>_xlfn.IFNA(VLOOKUP(C470,merchants!$A$2:$D$41,2,FALSE),"Merchant not found")</f>
        <v>Merchant_018</v>
      </c>
      <c r="J470" t="str">
        <f>_xlfn.IFNA(VLOOKUP(C470,merchants!$A$2:$D$41,3,FALSE),"Merchant not found")</f>
        <v>grocery</v>
      </c>
      <c r="K470" t="str">
        <f>_xlfn.IFNA(VLOOKUP(C470,merchants!$A$2:$D$41,4,FALSE),"Merchant not found")</f>
        <v>West</v>
      </c>
      <c r="L470" s="2">
        <f>HLOOKUP(F470,Fees!$B$1:$E$2,2,FALSE)</f>
        <v>0.02</v>
      </c>
    </row>
    <row r="471" spans="1:12" x14ac:dyDescent="0.3">
      <c r="A471" t="s">
        <v>484</v>
      </c>
      <c r="B471">
        <v>236</v>
      </c>
      <c r="C471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  <c r="I471" t="str">
        <f>_xlfn.IFNA(VLOOKUP(C471,merchants!$A$2:$D$41,2,FALSE),"Merchant not found")</f>
        <v>Merchant_037</v>
      </c>
      <c r="J471" t="str">
        <f>_xlfn.IFNA(VLOOKUP(C471,merchants!$A$2:$D$41,3,FALSE),"Merchant not found")</f>
        <v>entertainment</v>
      </c>
      <c r="K471" t="str">
        <f>_xlfn.IFNA(VLOOKUP(C471,merchants!$A$2:$D$41,4,FALSE),"Merchant not found")</f>
        <v>South</v>
      </c>
      <c r="L471" s="2">
        <f>HLOOKUP(F471,Fees!$B$1:$E$2,2,FALSE)</f>
        <v>0.02</v>
      </c>
    </row>
    <row r="472" spans="1:12" x14ac:dyDescent="0.3">
      <c r="A472" t="s">
        <v>485</v>
      </c>
      <c r="B472">
        <v>42</v>
      </c>
      <c r="C47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  <c r="I472" t="str">
        <f>_xlfn.IFNA(VLOOKUP(C472,merchants!$A$2:$D$41,2,FALSE),"Merchant not found")</f>
        <v>Merchant_003</v>
      </c>
      <c r="J472" t="str">
        <f>_xlfn.IFNA(VLOOKUP(C472,merchants!$A$2:$D$41,3,FALSE),"Merchant not found")</f>
        <v>grocery</v>
      </c>
      <c r="K472" t="str">
        <f>_xlfn.IFNA(VLOOKUP(C472,merchants!$A$2:$D$41,4,FALSE),"Merchant not found")</f>
        <v>East</v>
      </c>
      <c r="L472" s="2">
        <f>HLOOKUP(F472,Fees!$B$1:$E$2,2,FALSE)</f>
        <v>0</v>
      </c>
    </row>
    <row r="473" spans="1:12" x14ac:dyDescent="0.3">
      <c r="A473" t="s">
        <v>486</v>
      </c>
      <c r="B473">
        <v>283</v>
      </c>
      <c r="C473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  <c r="I473" t="str">
        <f>_xlfn.IFNA(VLOOKUP(C473,merchants!$A$2:$D$41,2,FALSE),"Merchant not found")</f>
        <v>Merchant_031</v>
      </c>
      <c r="J473" t="str">
        <f>_xlfn.IFNA(VLOOKUP(C473,merchants!$A$2:$D$41,3,FALSE),"Merchant not found")</f>
        <v>bill_payment</v>
      </c>
      <c r="K473" t="str">
        <f>_xlfn.IFNA(VLOOKUP(C473,merchants!$A$2:$D$41,4,FALSE),"Merchant not found")</f>
        <v>East</v>
      </c>
      <c r="L473" s="2">
        <f>HLOOKUP(F473,Fees!$B$1:$E$2,2,FALSE)</f>
        <v>0.01</v>
      </c>
    </row>
    <row r="474" spans="1:12" x14ac:dyDescent="0.3">
      <c r="A474" t="s">
        <v>487</v>
      </c>
      <c r="B474">
        <v>88</v>
      </c>
      <c r="C474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  <c r="I474" t="str">
        <f>_xlfn.IFNA(VLOOKUP(C474,merchants!$A$2:$D$41,2,FALSE),"Merchant not found")</f>
        <v>Merchant_006</v>
      </c>
      <c r="J474" t="str">
        <f>_xlfn.IFNA(VLOOKUP(C474,merchants!$A$2:$D$41,3,FALSE),"Merchant not found")</f>
        <v>food_delivery</v>
      </c>
      <c r="K474" t="str">
        <f>_xlfn.IFNA(VLOOKUP(C474,merchants!$A$2:$D$41,4,FALSE),"Merchant not found")</f>
        <v>South</v>
      </c>
      <c r="L474" s="2">
        <f>HLOOKUP(F474,Fees!$B$1:$E$2,2,FALSE)</f>
        <v>0</v>
      </c>
    </row>
    <row r="475" spans="1:12" x14ac:dyDescent="0.3">
      <c r="A475" t="s">
        <v>488</v>
      </c>
      <c r="B475">
        <v>170</v>
      </c>
      <c r="C475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  <c r="I475" t="str">
        <f>_xlfn.IFNA(VLOOKUP(C475,merchants!$A$2:$D$41,2,FALSE),"Merchant not found")</f>
        <v>Merchant_037</v>
      </c>
      <c r="J475" t="str">
        <f>_xlfn.IFNA(VLOOKUP(C475,merchants!$A$2:$D$41,3,FALSE),"Merchant not found")</f>
        <v>entertainment</v>
      </c>
      <c r="K475" t="str">
        <f>_xlfn.IFNA(VLOOKUP(C475,merchants!$A$2:$D$41,4,FALSE),"Merchant not found")</f>
        <v>South</v>
      </c>
      <c r="L475" s="2">
        <f>HLOOKUP(F475,Fees!$B$1:$E$2,2,FALSE)</f>
        <v>0</v>
      </c>
    </row>
    <row r="476" spans="1:12" x14ac:dyDescent="0.3">
      <c r="A476" t="s">
        <v>489</v>
      </c>
      <c r="B476">
        <v>22</v>
      </c>
      <c r="C476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  <c r="I476" t="str">
        <f>_xlfn.IFNA(VLOOKUP(C476,merchants!$A$2:$D$41,2,FALSE),"Merchant not found")</f>
        <v>Merchant_015</v>
      </c>
      <c r="J476" t="str">
        <f>_xlfn.IFNA(VLOOKUP(C476,merchants!$A$2:$D$41,3,FALSE),"Merchant not found")</f>
        <v>travel</v>
      </c>
      <c r="K476" t="str">
        <f>_xlfn.IFNA(VLOOKUP(C476,merchants!$A$2:$D$41,4,FALSE),"Merchant not found")</f>
        <v>North</v>
      </c>
      <c r="L476" s="2">
        <f>HLOOKUP(F476,Fees!$B$1:$E$2,2,FALSE)</f>
        <v>0.01</v>
      </c>
    </row>
    <row r="477" spans="1:12" x14ac:dyDescent="0.3">
      <c r="A477" t="s">
        <v>490</v>
      </c>
      <c r="B477">
        <v>291</v>
      </c>
      <c r="C477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  <c r="I477" t="str">
        <f>_xlfn.IFNA(VLOOKUP(C477,merchants!$A$2:$D$41,2,FALSE),"Merchant not found")</f>
        <v>Merchant_031</v>
      </c>
      <c r="J477" t="str">
        <f>_xlfn.IFNA(VLOOKUP(C477,merchants!$A$2:$D$41,3,FALSE),"Merchant not found")</f>
        <v>bill_payment</v>
      </c>
      <c r="K477" t="str">
        <f>_xlfn.IFNA(VLOOKUP(C477,merchants!$A$2:$D$41,4,FALSE),"Merchant not found")</f>
        <v>East</v>
      </c>
      <c r="L477" s="2">
        <f>HLOOKUP(F477,Fees!$B$1:$E$2,2,FALSE)</f>
        <v>0.01</v>
      </c>
    </row>
    <row r="478" spans="1:12" x14ac:dyDescent="0.3">
      <c r="A478" t="s">
        <v>491</v>
      </c>
      <c r="B478">
        <v>144</v>
      </c>
      <c r="C478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  <c r="I478" t="str">
        <f>_xlfn.IFNA(VLOOKUP(C478,merchants!$A$2:$D$41,2,FALSE),"Merchant not found")</f>
        <v>Merchant_035</v>
      </c>
      <c r="J478" t="str">
        <f>_xlfn.IFNA(VLOOKUP(C478,merchants!$A$2:$D$41,3,FALSE),"Merchant not found")</f>
        <v>recharge</v>
      </c>
      <c r="K478" t="str">
        <f>_xlfn.IFNA(VLOOKUP(C478,merchants!$A$2:$D$41,4,FALSE),"Merchant not found")</f>
        <v>East</v>
      </c>
      <c r="L478" s="2">
        <f>HLOOKUP(F478,Fees!$B$1:$E$2,2,FALSE)</f>
        <v>0</v>
      </c>
    </row>
    <row r="479" spans="1:12" x14ac:dyDescent="0.3">
      <c r="A479" t="s">
        <v>492</v>
      </c>
      <c r="B479">
        <v>162</v>
      </c>
      <c r="C479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  <c r="I479" t="str">
        <f>_xlfn.IFNA(VLOOKUP(C479,merchants!$A$2:$D$41,2,FALSE),"Merchant not found")</f>
        <v>Merchant_002</v>
      </c>
      <c r="J479" t="str">
        <f>_xlfn.IFNA(VLOOKUP(C479,merchants!$A$2:$D$41,3,FALSE),"Merchant not found")</f>
        <v>grocery</v>
      </c>
      <c r="K479" t="str">
        <f>_xlfn.IFNA(VLOOKUP(C479,merchants!$A$2:$D$41,4,FALSE),"Merchant not found")</f>
        <v>West</v>
      </c>
      <c r="L479" s="2">
        <f>HLOOKUP(F479,Fees!$B$1:$E$2,2,FALSE)</f>
        <v>1.4999999999999999E-2</v>
      </c>
    </row>
    <row r="480" spans="1:12" x14ac:dyDescent="0.3">
      <c r="A480" t="s">
        <v>493</v>
      </c>
      <c r="B480">
        <v>204</v>
      </c>
      <c r="C480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  <c r="I480" t="str">
        <f>_xlfn.IFNA(VLOOKUP(C480,merchants!$A$2:$D$41,2,FALSE),"Merchant not found")</f>
        <v>Merchant_005</v>
      </c>
      <c r="J480" t="str">
        <f>_xlfn.IFNA(VLOOKUP(C480,merchants!$A$2:$D$41,3,FALSE),"Merchant not found")</f>
        <v>recharge</v>
      </c>
      <c r="K480" t="str">
        <f>_xlfn.IFNA(VLOOKUP(C480,merchants!$A$2:$D$41,4,FALSE),"Merchant not found")</f>
        <v>South</v>
      </c>
      <c r="L480" s="2">
        <f>HLOOKUP(F480,Fees!$B$1:$E$2,2,FALSE)</f>
        <v>0</v>
      </c>
    </row>
    <row r="481" spans="1:12" x14ac:dyDescent="0.3">
      <c r="A481" t="s">
        <v>494</v>
      </c>
      <c r="B481">
        <v>291</v>
      </c>
      <c r="C481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  <c r="I481" t="str">
        <f>_xlfn.IFNA(VLOOKUP(C481,merchants!$A$2:$D$41,2,FALSE),"Merchant not found")</f>
        <v>Merchant_025</v>
      </c>
      <c r="J481" t="str">
        <f>_xlfn.IFNA(VLOOKUP(C481,merchants!$A$2:$D$41,3,FALSE),"Merchant not found")</f>
        <v>travel</v>
      </c>
      <c r="K481" t="str">
        <f>_xlfn.IFNA(VLOOKUP(C481,merchants!$A$2:$D$41,4,FALSE),"Merchant not found")</f>
        <v>South</v>
      </c>
      <c r="L481" s="2">
        <f>HLOOKUP(F481,Fees!$B$1:$E$2,2,FALSE)</f>
        <v>1.4999999999999999E-2</v>
      </c>
    </row>
    <row r="482" spans="1:12" x14ac:dyDescent="0.3">
      <c r="A482" t="s">
        <v>495</v>
      </c>
      <c r="B482">
        <v>197</v>
      </c>
      <c r="C48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  <c r="I482" t="str">
        <f>_xlfn.IFNA(VLOOKUP(C482,merchants!$A$2:$D$41,2,FALSE),"Merchant not found")</f>
        <v>Merchant_009</v>
      </c>
      <c r="J482" t="str">
        <f>_xlfn.IFNA(VLOOKUP(C482,merchants!$A$2:$D$41,3,FALSE),"Merchant not found")</f>
        <v>ecommerce</v>
      </c>
      <c r="K482" t="str">
        <f>_xlfn.IFNA(VLOOKUP(C482,merchants!$A$2:$D$41,4,FALSE),"Merchant not found")</f>
        <v>North</v>
      </c>
      <c r="L482" s="2">
        <f>HLOOKUP(F482,Fees!$B$1:$E$2,2,FALSE)</f>
        <v>1.4999999999999999E-2</v>
      </c>
    </row>
    <row r="483" spans="1:12" x14ac:dyDescent="0.3">
      <c r="A483" t="s">
        <v>496</v>
      </c>
      <c r="B483">
        <v>178</v>
      </c>
      <c r="C483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  <c r="I483" t="str">
        <f>_xlfn.IFNA(VLOOKUP(C483,merchants!$A$2:$D$41,2,FALSE),"Merchant not found")</f>
        <v>Merchant_004</v>
      </c>
      <c r="J483" t="str">
        <f>_xlfn.IFNA(VLOOKUP(C483,merchants!$A$2:$D$41,3,FALSE),"Merchant not found")</f>
        <v>ecommerce</v>
      </c>
      <c r="K483" t="str">
        <f>_xlfn.IFNA(VLOOKUP(C483,merchants!$A$2:$D$41,4,FALSE),"Merchant not found")</f>
        <v>East</v>
      </c>
      <c r="L483" s="2">
        <f>HLOOKUP(F483,Fees!$B$1:$E$2,2,FALSE)</f>
        <v>0</v>
      </c>
    </row>
    <row r="484" spans="1:12" x14ac:dyDescent="0.3">
      <c r="A484" t="s">
        <v>497</v>
      </c>
      <c r="B484">
        <v>39</v>
      </c>
      <c r="C484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  <c r="I484" t="str">
        <f>_xlfn.IFNA(VLOOKUP(C484,merchants!$A$2:$D$41,2,FALSE),"Merchant not found")</f>
        <v>Merchant_022</v>
      </c>
      <c r="J484" t="str">
        <f>_xlfn.IFNA(VLOOKUP(C484,merchants!$A$2:$D$41,3,FALSE),"Merchant not found")</f>
        <v>travel</v>
      </c>
      <c r="K484" t="str">
        <f>_xlfn.IFNA(VLOOKUP(C484,merchants!$A$2:$D$41,4,FALSE),"Merchant not found")</f>
        <v>South</v>
      </c>
      <c r="L484" s="2">
        <f>HLOOKUP(F484,Fees!$B$1:$E$2,2,FALSE)</f>
        <v>0.01</v>
      </c>
    </row>
    <row r="485" spans="1:12" x14ac:dyDescent="0.3">
      <c r="A485" t="s">
        <v>498</v>
      </c>
      <c r="B485">
        <v>204</v>
      </c>
      <c r="C485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  <c r="I485" t="str">
        <f>_xlfn.IFNA(VLOOKUP(C485,merchants!$A$2:$D$41,2,FALSE),"Merchant not found")</f>
        <v>Merchant_021</v>
      </c>
      <c r="J485" t="str">
        <f>_xlfn.IFNA(VLOOKUP(C485,merchants!$A$2:$D$41,3,FALSE),"Merchant not found")</f>
        <v>food_delivery</v>
      </c>
      <c r="K485" t="str">
        <f>_xlfn.IFNA(VLOOKUP(C485,merchants!$A$2:$D$41,4,FALSE),"Merchant not found")</f>
        <v>East</v>
      </c>
      <c r="L485" s="2">
        <f>HLOOKUP(F485,Fees!$B$1:$E$2,2,FALSE)</f>
        <v>1.4999999999999999E-2</v>
      </c>
    </row>
    <row r="486" spans="1:12" x14ac:dyDescent="0.3">
      <c r="A486" t="s">
        <v>499</v>
      </c>
      <c r="B486">
        <v>231</v>
      </c>
      <c r="C486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  <c r="I486" t="str">
        <f>_xlfn.IFNA(VLOOKUP(C486,merchants!$A$2:$D$41,2,FALSE),"Merchant not found")</f>
        <v>Merchant_032</v>
      </c>
      <c r="J486" t="str">
        <f>_xlfn.IFNA(VLOOKUP(C486,merchants!$A$2:$D$41,3,FALSE),"Merchant not found")</f>
        <v>food_delivery</v>
      </c>
      <c r="K486" t="str">
        <f>_xlfn.IFNA(VLOOKUP(C486,merchants!$A$2:$D$41,4,FALSE),"Merchant not found")</f>
        <v>West</v>
      </c>
      <c r="L486" s="2">
        <f>HLOOKUP(F486,Fees!$B$1:$E$2,2,FALSE)</f>
        <v>0</v>
      </c>
    </row>
    <row r="487" spans="1:12" x14ac:dyDescent="0.3">
      <c r="A487" t="s">
        <v>500</v>
      </c>
      <c r="B487">
        <v>222</v>
      </c>
      <c r="C487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  <c r="I487" t="str">
        <f>_xlfn.IFNA(VLOOKUP(C487,merchants!$A$2:$D$41,2,FALSE),"Merchant not found")</f>
        <v>Merchant_012</v>
      </c>
      <c r="J487" t="str">
        <f>_xlfn.IFNA(VLOOKUP(C487,merchants!$A$2:$D$41,3,FALSE),"Merchant not found")</f>
        <v>ecommerce</v>
      </c>
      <c r="K487" t="str">
        <f>_xlfn.IFNA(VLOOKUP(C487,merchants!$A$2:$D$41,4,FALSE),"Merchant not found")</f>
        <v>East</v>
      </c>
      <c r="L487" s="2">
        <f>HLOOKUP(F487,Fees!$B$1:$E$2,2,FALSE)</f>
        <v>1.4999999999999999E-2</v>
      </c>
    </row>
    <row r="488" spans="1:12" x14ac:dyDescent="0.3">
      <c r="A488" t="s">
        <v>501</v>
      </c>
      <c r="B488">
        <v>44</v>
      </c>
      <c r="C488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  <c r="I488" t="str">
        <f>_xlfn.IFNA(VLOOKUP(C488,merchants!$A$2:$D$41,2,FALSE),"Merchant not found")</f>
        <v>Merchant_040</v>
      </c>
      <c r="J488" t="str">
        <f>_xlfn.IFNA(VLOOKUP(C488,merchants!$A$2:$D$41,3,FALSE),"Merchant not found")</f>
        <v>entertainment</v>
      </c>
      <c r="K488" t="str">
        <f>_xlfn.IFNA(VLOOKUP(C488,merchants!$A$2:$D$41,4,FALSE),"Merchant not found")</f>
        <v>South</v>
      </c>
      <c r="L488" s="2">
        <f>HLOOKUP(F488,Fees!$B$1:$E$2,2,FALSE)</f>
        <v>0</v>
      </c>
    </row>
    <row r="489" spans="1:12" x14ac:dyDescent="0.3">
      <c r="A489" t="s">
        <v>502</v>
      </c>
      <c r="B489">
        <v>38</v>
      </c>
      <c r="C489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  <c r="I489" t="str">
        <f>_xlfn.IFNA(VLOOKUP(C489,merchants!$A$2:$D$41,2,FALSE),"Merchant not found")</f>
        <v>Merchant_006</v>
      </c>
      <c r="J489" t="str">
        <f>_xlfn.IFNA(VLOOKUP(C489,merchants!$A$2:$D$41,3,FALSE),"Merchant not found")</f>
        <v>food_delivery</v>
      </c>
      <c r="K489" t="str">
        <f>_xlfn.IFNA(VLOOKUP(C489,merchants!$A$2:$D$41,4,FALSE),"Merchant not found")</f>
        <v>South</v>
      </c>
      <c r="L489" s="2">
        <f>HLOOKUP(F489,Fees!$B$1:$E$2,2,FALSE)</f>
        <v>1.4999999999999999E-2</v>
      </c>
    </row>
    <row r="490" spans="1:12" x14ac:dyDescent="0.3">
      <c r="A490" t="s">
        <v>503</v>
      </c>
      <c r="B490">
        <v>325</v>
      </c>
      <c r="C490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  <c r="I490" t="str">
        <f>_xlfn.IFNA(VLOOKUP(C490,merchants!$A$2:$D$41,2,FALSE),"Merchant not found")</f>
        <v>Merchant_010</v>
      </c>
      <c r="J490" t="str">
        <f>_xlfn.IFNA(VLOOKUP(C490,merchants!$A$2:$D$41,3,FALSE),"Merchant not found")</f>
        <v>grocery</v>
      </c>
      <c r="K490" t="str">
        <f>_xlfn.IFNA(VLOOKUP(C490,merchants!$A$2:$D$41,4,FALSE),"Merchant not found")</f>
        <v>West</v>
      </c>
      <c r="L490" s="2">
        <f>HLOOKUP(F490,Fees!$B$1:$E$2,2,FALSE)</f>
        <v>0.01</v>
      </c>
    </row>
    <row r="491" spans="1:12" x14ac:dyDescent="0.3">
      <c r="A491" t="s">
        <v>504</v>
      </c>
      <c r="B491">
        <v>55</v>
      </c>
      <c r="C491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  <c r="I491" t="str">
        <f>_xlfn.IFNA(VLOOKUP(C491,merchants!$A$2:$D$41,2,FALSE),"Merchant not found")</f>
        <v>Merchant_006</v>
      </c>
      <c r="J491" t="str">
        <f>_xlfn.IFNA(VLOOKUP(C491,merchants!$A$2:$D$41,3,FALSE),"Merchant not found")</f>
        <v>food_delivery</v>
      </c>
      <c r="K491" t="str">
        <f>_xlfn.IFNA(VLOOKUP(C491,merchants!$A$2:$D$41,4,FALSE),"Merchant not found")</f>
        <v>South</v>
      </c>
      <c r="L491" s="2">
        <f>HLOOKUP(F491,Fees!$B$1:$E$2,2,FALSE)</f>
        <v>0.02</v>
      </c>
    </row>
    <row r="492" spans="1:12" x14ac:dyDescent="0.3">
      <c r="A492" t="s">
        <v>505</v>
      </c>
      <c r="B492">
        <v>139</v>
      </c>
      <c r="C49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  <c r="I492" t="str">
        <f>_xlfn.IFNA(VLOOKUP(C492,merchants!$A$2:$D$41,2,FALSE),"Merchant not found")</f>
        <v>Merchant_007</v>
      </c>
      <c r="J492" t="str">
        <f>_xlfn.IFNA(VLOOKUP(C492,merchants!$A$2:$D$41,3,FALSE),"Merchant not found")</f>
        <v>food_delivery</v>
      </c>
      <c r="K492" t="str">
        <f>_xlfn.IFNA(VLOOKUP(C492,merchants!$A$2:$D$41,4,FALSE),"Merchant not found")</f>
        <v>East</v>
      </c>
      <c r="L492" s="2">
        <f>HLOOKUP(F492,Fees!$B$1:$E$2,2,FALSE)</f>
        <v>0.02</v>
      </c>
    </row>
    <row r="493" spans="1:12" x14ac:dyDescent="0.3">
      <c r="A493" t="s">
        <v>506</v>
      </c>
      <c r="B493">
        <v>230</v>
      </c>
      <c r="C493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  <c r="I493" t="str">
        <f>_xlfn.IFNA(VLOOKUP(C493,merchants!$A$2:$D$41,2,FALSE),"Merchant not found")</f>
        <v>Merchant_036</v>
      </c>
      <c r="J493" t="str">
        <f>_xlfn.IFNA(VLOOKUP(C493,merchants!$A$2:$D$41,3,FALSE),"Merchant not found")</f>
        <v>entertainment</v>
      </c>
      <c r="K493" t="str">
        <f>_xlfn.IFNA(VLOOKUP(C493,merchants!$A$2:$D$41,4,FALSE),"Merchant not found")</f>
        <v>East</v>
      </c>
      <c r="L493" s="2">
        <f>HLOOKUP(F493,Fees!$B$1:$E$2,2,FALSE)</f>
        <v>1.4999999999999999E-2</v>
      </c>
    </row>
    <row r="494" spans="1:12" x14ac:dyDescent="0.3">
      <c r="A494" t="s">
        <v>507</v>
      </c>
      <c r="B494">
        <v>14</v>
      </c>
      <c r="C494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  <c r="I494" t="str">
        <f>_xlfn.IFNA(VLOOKUP(C494,merchants!$A$2:$D$41,2,FALSE),"Merchant not found")</f>
        <v>Merchant_006</v>
      </c>
      <c r="J494" t="str">
        <f>_xlfn.IFNA(VLOOKUP(C494,merchants!$A$2:$D$41,3,FALSE),"Merchant not found")</f>
        <v>food_delivery</v>
      </c>
      <c r="K494" t="str">
        <f>_xlfn.IFNA(VLOOKUP(C494,merchants!$A$2:$D$41,4,FALSE),"Merchant not found")</f>
        <v>South</v>
      </c>
      <c r="L494" s="2">
        <f>HLOOKUP(F494,Fees!$B$1:$E$2,2,FALSE)</f>
        <v>0.02</v>
      </c>
    </row>
    <row r="495" spans="1:12" x14ac:dyDescent="0.3">
      <c r="A495" t="s">
        <v>508</v>
      </c>
      <c r="B495">
        <v>307</v>
      </c>
      <c r="C495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  <c r="I495" t="str">
        <f>_xlfn.IFNA(VLOOKUP(C495,merchants!$A$2:$D$41,2,FALSE),"Merchant not found")</f>
        <v>Merchant_021</v>
      </c>
      <c r="J495" t="str">
        <f>_xlfn.IFNA(VLOOKUP(C495,merchants!$A$2:$D$41,3,FALSE),"Merchant not found")</f>
        <v>food_delivery</v>
      </c>
      <c r="K495" t="str">
        <f>_xlfn.IFNA(VLOOKUP(C495,merchants!$A$2:$D$41,4,FALSE),"Merchant not found")</f>
        <v>East</v>
      </c>
      <c r="L495" s="2">
        <f>HLOOKUP(F495,Fees!$B$1:$E$2,2,FALSE)</f>
        <v>0</v>
      </c>
    </row>
    <row r="496" spans="1:12" x14ac:dyDescent="0.3">
      <c r="A496" t="s">
        <v>509</v>
      </c>
      <c r="B496">
        <v>199</v>
      </c>
      <c r="C496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  <c r="I496" t="str">
        <f>_xlfn.IFNA(VLOOKUP(C496,merchants!$A$2:$D$41,2,FALSE),"Merchant not found")</f>
        <v>Merchant_006</v>
      </c>
      <c r="J496" t="str">
        <f>_xlfn.IFNA(VLOOKUP(C496,merchants!$A$2:$D$41,3,FALSE),"Merchant not found")</f>
        <v>food_delivery</v>
      </c>
      <c r="K496" t="str">
        <f>_xlfn.IFNA(VLOOKUP(C496,merchants!$A$2:$D$41,4,FALSE),"Merchant not found")</f>
        <v>South</v>
      </c>
      <c r="L496" s="2">
        <f>HLOOKUP(F496,Fees!$B$1:$E$2,2,FALSE)</f>
        <v>0</v>
      </c>
    </row>
    <row r="497" spans="1:12" x14ac:dyDescent="0.3">
      <c r="A497" t="s">
        <v>510</v>
      </c>
      <c r="B497">
        <v>125</v>
      </c>
      <c r="C497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  <c r="I497" t="str">
        <f>_xlfn.IFNA(VLOOKUP(C497,merchants!$A$2:$D$41,2,FALSE),"Merchant not found")</f>
        <v>Merchant_037</v>
      </c>
      <c r="J497" t="str">
        <f>_xlfn.IFNA(VLOOKUP(C497,merchants!$A$2:$D$41,3,FALSE),"Merchant not found")</f>
        <v>entertainment</v>
      </c>
      <c r="K497" t="str">
        <f>_xlfn.IFNA(VLOOKUP(C497,merchants!$A$2:$D$41,4,FALSE),"Merchant not found")</f>
        <v>South</v>
      </c>
      <c r="L497" s="2">
        <f>HLOOKUP(F497,Fees!$B$1:$E$2,2,FALSE)</f>
        <v>1.4999999999999999E-2</v>
      </c>
    </row>
    <row r="498" spans="1:12" x14ac:dyDescent="0.3">
      <c r="A498" t="s">
        <v>511</v>
      </c>
      <c r="B498">
        <v>87</v>
      </c>
      <c r="C498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  <c r="I498" t="str">
        <f>_xlfn.IFNA(VLOOKUP(C498,merchants!$A$2:$D$41,2,FALSE),"Merchant not found")</f>
        <v>Merchant_009</v>
      </c>
      <c r="J498" t="str">
        <f>_xlfn.IFNA(VLOOKUP(C498,merchants!$A$2:$D$41,3,FALSE),"Merchant not found")</f>
        <v>ecommerce</v>
      </c>
      <c r="K498" t="str">
        <f>_xlfn.IFNA(VLOOKUP(C498,merchants!$A$2:$D$41,4,FALSE),"Merchant not found")</f>
        <v>North</v>
      </c>
      <c r="L498" s="2">
        <f>HLOOKUP(F498,Fees!$B$1:$E$2,2,FALSE)</f>
        <v>0</v>
      </c>
    </row>
    <row r="499" spans="1:12" x14ac:dyDescent="0.3">
      <c r="A499" t="s">
        <v>512</v>
      </c>
      <c r="B499">
        <v>75</v>
      </c>
      <c r="C499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  <c r="I499" t="str">
        <f>_xlfn.IFNA(VLOOKUP(C499,merchants!$A$2:$D$41,2,FALSE),"Merchant not found")</f>
        <v>Merchant_005</v>
      </c>
      <c r="J499" t="str">
        <f>_xlfn.IFNA(VLOOKUP(C499,merchants!$A$2:$D$41,3,FALSE),"Merchant not found")</f>
        <v>recharge</v>
      </c>
      <c r="K499" t="str">
        <f>_xlfn.IFNA(VLOOKUP(C499,merchants!$A$2:$D$41,4,FALSE),"Merchant not found")</f>
        <v>South</v>
      </c>
      <c r="L499" s="2">
        <f>HLOOKUP(F499,Fees!$B$1:$E$2,2,FALSE)</f>
        <v>0</v>
      </c>
    </row>
    <row r="500" spans="1:12" x14ac:dyDescent="0.3">
      <c r="A500" t="s">
        <v>513</v>
      </c>
      <c r="B500">
        <v>154</v>
      </c>
      <c r="C500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  <c r="I500" t="str">
        <f>_xlfn.IFNA(VLOOKUP(C500,merchants!$A$2:$D$41,2,FALSE),"Merchant not found")</f>
        <v>Merchant_031</v>
      </c>
      <c r="J500" t="str">
        <f>_xlfn.IFNA(VLOOKUP(C500,merchants!$A$2:$D$41,3,FALSE),"Merchant not found")</f>
        <v>bill_payment</v>
      </c>
      <c r="K500" t="str">
        <f>_xlfn.IFNA(VLOOKUP(C500,merchants!$A$2:$D$41,4,FALSE),"Merchant not found")</f>
        <v>East</v>
      </c>
      <c r="L500" s="2">
        <f>HLOOKUP(F500,Fees!$B$1:$E$2,2,FALSE)</f>
        <v>1.4999999999999999E-2</v>
      </c>
    </row>
    <row r="501" spans="1:12" x14ac:dyDescent="0.3">
      <c r="A501" t="s">
        <v>514</v>
      </c>
      <c r="B501">
        <v>127</v>
      </c>
      <c r="C501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  <c r="I501" t="str">
        <f>_xlfn.IFNA(VLOOKUP(C501,merchants!$A$2:$D$41,2,FALSE),"Merchant not found")</f>
        <v>Merchant_032</v>
      </c>
      <c r="J501" t="str">
        <f>_xlfn.IFNA(VLOOKUP(C501,merchants!$A$2:$D$41,3,FALSE),"Merchant not found")</f>
        <v>food_delivery</v>
      </c>
      <c r="K501" t="str">
        <f>_xlfn.IFNA(VLOOKUP(C501,merchants!$A$2:$D$41,4,FALSE),"Merchant not found")</f>
        <v>West</v>
      </c>
      <c r="L501" s="2">
        <f>HLOOKUP(F501,Fees!$B$1:$E$2,2,FALSE)</f>
        <v>0.02</v>
      </c>
    </row>
    <row r="502" spans="1:12" x14ac:dyDescent="0.3">
      <c r="A502" t="s">
        <v>515</v>
      </c>
      <c r="B502">
        <v>351</v>
      </c>
      <c r="C50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  <c r="I502" t="str">
        <f>_xlfn.IFNA(VLOOKUP(C502,merchants!$A$2:$D$41,2,FALSE),"Merchant not found")</f>
        <v>Merchant_007</v>
      </c>
      <c r="J502" t="str">
        <f>_xlfn.IFNA(VLOOKUP(C502,merchants!$A$2:$D$41,3,FALSE),"Merchant not found")</f>
        <v>food_delivery</v>
      </c>
      <c r="K502" t="str">
        <f>_xlfn.IFNA(VLOOKUP(C502,merchants!$A$2:$D$41,4,FALSE),"Merchant not found")</f>
        <v>East</v>
      </c>
      <c r="L502" s="2">
        <f>HLOOKUP(F502,Fees!$B$1:$E$2,2,FALSE)</f>
        <v>0.02</v>
      </c>
    </row>
    <row r="503" spans="1:12" x14ac:dyDescent="0.3">
      <c r="A503" t="s">
        <v>516</v>
      </c>
      <c r="B503">
        <v>352</v>
      </c>
      <c r="C503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  <c r="I503" t="str">
        <f>_xlfn.IFNA(VLOOKUP(C503,merchants!$A$2:$D$41,2,FALSE),"Merchant not found")</f>
        <v>Merchant_040</v>
      </c>
      <c r="J503" t="str">
        <f>_xlfn.IFNA(VLOOKUP(C503,merchants!$A$2:$D$41,3,FALSE),"Merchant not found")</f>
        <v>entertainment</v>
      </c>
      <c r="K503" t="str">
        <f>_xlfn.IFNA(VLOOKUP(C503,merchants!$A$2:$D$41,4,FALSE),"Merchant not found")</f>
        <v>South</v>
      </c>
      <c r="L503" s="2">
        <f>HLOOKUP(F503,Fees!$B$1:$E$2,2,FALSE)</f>
        <v>0.02</v>
      </c>
    </row>
    <row r="504" spans="1:12" x14ac:dyDescent="0.3">
      <c r="A504" t="s">
        <v>517</v>
      </c>
      <c r="B504">
        <v>353</v>
      </c>
      <c r="C504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  <c r="I504" t="str">
        <f>_xlfn.IFNA(VLOOKUP(C504,merchants!$A$2:$D$41,2,FALSE),"Merchant not found")</f>
        <v>Merchant_028</v>
      </c>
      <c r="J504" t="str">
        <f>_xlfn.IFNA(VLOOKUP(C504,merchants!$A$2:$D$41,3,FALSE),"Merchant not found")</f>
        <v>ecommerce</v>
      </c>
      <c r="K504" t="str">
        <f>_xlfn.IFNA(VLOOKUP(C504,merchants!$A$2:$D$41,4,FALSE),"Merchant not found")</f>
        <v>South</v>
      </c>
      <c r="L504" s="2">
        <f>HLOOKUP(F504,Fees!$B$1:$E$2,2,FALSE)</f>
        <v>0.02</v>
      </c>
    </row>
    <row r="505" spans="1:12" x14ac:dyDescent="0.3">
      <c r="A505" t="s">
        <v>518</v>
      </c>
      <c r="B505">
        <v>354</v>
      </c>
      <c r="C505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  <c r="I505" t="str">
        <f>_xlfn.IFNA(VLOOKUP(C505,merchants!$A$2:$D$41,2,FALSE),"Merchant not found")</f>
        <v>Merchant_013</v>
      </c>
      <c r="J505" t="str">
        <f>_xlfn.IFNA(VLOOKUP(C505,merchants!$A$2:$D$41,3,FALSE),"Merchant not found")</f>
        <v>travel</v>
      </c>
      <c r="K505" t="str">
        <f>_xlfn.IFNA(VLOOKUP(C505,merchants!$A$2:$D$41,4,FALSE),"Merchant not found")</f>
        <v>East</v>
      </c>
      <c r="L505" s="2">
        <f>HLOOKUP(F505,Fees!$B$1:$E$2,2,FALSE)</f>
        <v>0.02</v>
      </c>
    </row>
    <row r="506" spans="1:12" x14ac:dyDescent="0.3">
      <c r="A506" t="s">
        <v>519</v>
      </c>
      <c r="B506">
        <v>355</v>
      </c>
      <c r="C506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  <c r="I506" t="str">
        <f>_xlfn.IFNA(VLOOKUP(C506,merchants!$A$2:$D$41,2,FALSE),"Merchant not found")</f>
        <v>Merchant_019</v>
      </c>
      <c r="J506" t="str">
        <f>_xlfn.IFNA(VLOOKUP(C506,merchants!$A$2:$D$41,3,FALSE),"Merchant not found")</f>
        <v>grocery</v>
      </c>
      <c r="K506" t="str">
        <f>_xlfn.IFNA(VLOOKUP(C506,merchants!$A$2:$D$41,4,FALSE),"Merchant not found")</f>
        <v>North</v>
      </c>
      <c r="L506" s="2">
        <f>HLOOKUP(F506,Fees!$B$1:$E$2,2,FALSE)</f>
        <v>0.02</v>
      </c>
    </row>
    <row r="507" spans="1:12" x14ac:dyDescent="0.3">
      <c r="A507" t="s">
        <v>520</v>
      </c>
      <c r="B507">
        <v>356</v>
      </c>
      <c r="C507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  <c r="I507" t="str">
        <f>_xlfn.IFNA(VLOOKUP(C507,merchants!$A$2:$D$41,2,FALSE),"Merchant not found")</f>
        <v>Merchant_025</v>
      </c>
      <c r="J507" t="str">
        <f>_xlfn.IFNA(VLOOKUP(C507,merchants!$A$2:$D$41,3,FALSE),"Merchant not found")</f>
        <v>travel</v>
      </c>
      <c r="K507" t="str">
        <f>_xlfn.IFNA(VLOOKUP(C507,merchants!$A$2:$D$41,4,FALSE),"Merchant not found")</f>
        <v>South</v>
      </c>
      <c r="L507" s="2">
        <f>HLOOKUP(F507,Fees!$B$1:$E$2,2,FALSE)</f>
        <v>0.02</v>
      </c>
    </row>
    <row r="508" spans="1:12" x14ac:dyDescent="0.3">
      <c r="A508" t="s">
        <v>521</v>
      </c>
      <c r="B508">
        <v>357</v>
      </c>
      <c r="C508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  <c r="I508" t="str">
        <f>_xlfn.IFNA(VLOOKUP(C508,merchants!$A$2:$D$41,2,FALSE),"Merchant not found")</f>
        <v>Merchant_037</v>
      </c>
      <c r="J508" t="str">
        <f>_xlfn.IFNA(VLOOKUP(C508,merchants!$A$2:$D$41,3,FALSE),"Merchant not found")</f>
        <v>entertainment</v>
      </c>
      <c r="K508" t="str">
        <f>_xlfn.IFNA(VLOOKUP(C508,merchants!$A$2:$D$41,4,FALSE),"Merchant not found")</f>
        <v>South</v>
      </c>
      <c r="L508" s="2">
        <f>HLOOKUP(F508,Fees!$B$1:$E$2,2,FALSE)</f>
        <v>0.02</v>
      </c>
    </row>
    <row r="509" spans="1:12" x14ac:dyDescent="0.3">
      <c r="A509" t="s">
        <v>522</v>
      </c>
      <c r="B509">
        <v>358</v>
      </c>
      <c r="C509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  <c r="I509" t="str">
        <f>_xlfn.IFNA(VLOOKUP(C509,merchants!$A$2:$D$41,2,FALSE),"Merchant not found")</f>
        <v>Merchant_036</v>
      </c>
      <c r="J509" t="str">
        <f>_xlfn.IFNA(VLOOKUP(C509,merchants!$A$2:$D$41,3,FALSE),"Merchant not found")</f>
        <v>entertainment</v>
      </c>
      <c r="K509" t="str">
        <f>_xlfn.IFNA(VLOOKUP(C509,merchants!$A$2:$D$41,4,FALSE),"Merchant not found")</f>
        <v>East</v>
      </c>
      <c r="L509" s="2">
        <f>HLOOKUP(F509,Fees!$B$1:$E$2,2,FALSE)</f>
        <v>0.02</v>
      </c>
    </row>
    <row r="510" spans="1:12" x14ac:dyDescent="0.3">
      <c r="A510" t="s">
        <v>523</v>
      </c>
      <c r="B510">
        <v>359</v>
      </c>
      <c r="C510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  <c r="I510" t="str">
        <f>_xlfn.IFNA(VLOOKUP(C510,merchants!$A$2:$D$41,2,FALSE),"Merchant not found")</f>
        <v>Merchant_029</v>
      </c>
      <c r="J510" t="str">
        <f>_xlfn.IFNA(VLOOKUP(C510,merchants!$A$2:$D$41,3,FALSE),"Merchant not found")</f>
        <v>ecommerce</v>
      </c>
      <c r="K510" t="str">
        <f>_xlfn.IFNA(VLOOKUP(C510,merchants!$A$2:$D$41,4,FALSE),"Merchant not found")</f>
        <v>North</v>
      </c>
      <c r="L510" s="2">
        <f>HLOOKUP(F510,Fees!$B$1:$E$2,2,FALSE)</f>
        <v>0.02</v>
      </c>
    </row>
    <row r="511" spans="1:12" x14ac:dyDescent="0.3">
      <c r="A511" t="s">
        <v>524</v>
      </c>
      <c r="B511">
        <v>360</v>
      </c>
      <c r="C511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  <c r="I511" t="str">
        <f>_xlfn.IFNA(VLOOKUP(C511,merchants!$A$2:$D$41,2,FALSE),"Merchant not found")</f>
        <v>Merchant_032</v>
      </c>
      <c r="J511" t="str">
        <f>_xlfn.IFNA(VLOOKUP(C511,merchants!$A$2:$D$41,3,FALSE),"Merchant not found")</f>
        <v>food_delivery</v>
      </c>
      <c r="K511" t="str">
        <f>_xlfn.IFNA(VLOOKUP(C511,merchants!$A$2:$D$41,4,FALSE),"Merchant not found")</f>
        <v>West</v>
      </c>
      <c r="L511" s="2">
        <f>HLOOKUP(F511,Fees!$B$1:$E$2,2,FALSE)</f>
        <v>0.02</v>
      </c>
    </row>
    <row r="512" spans="1:12" x14ac:dyDescent="0.3">
      <c r="A512" t="s">
        <v>525</v>
      </c>
      <c r="B512">
        <v>361</v>
      </c>
      <c r="C51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  <c r="I512" t="str">
        <f>_xlfn.IFNA(VLOOKUP(C512,merchants!$A$2:$D$41,2,FALSE),"Merchant not found")</f>
        <v>Merchant_010</v>
      </c>
      <c r="J512" t="str">
        <f>_xlfn.IFNA(VLOOKUP(C512,merchants!$A$2:$D$41,3,FALSE),"Merchant not found")</f>
        <v>grocery</v>
      </c>
      <c r="K512" t="str">
        <f>_xlfn.IFNA(VLOOKUP(C512,merchants!$A$2:$D$41,4,FALSE),"Merchant not found")</f>
        <v>West</v>
      </c>
      <c r="L512" s="2">
        <f>HLOOKUP(F512,Fees!$B$1:$E$2,2,FALSE)</f>
        <v>0.02</v>
      </c>
    </row>
    <row r="513" spans="1:12" x14ac:dyDescent="0.3">
      <c r="A513" t="s">
        <v>526</v>
      </c>
      <c r="B513">
        <v>362</v>
      </c>
      <c r="C513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  <c r="I513" t="str">
        <f>_xlfn.IFNA(VLOOKUP(C513,merchants!$A$2:$D$41,2,FALSE),"Merchant not found")</f>
        <v>Merchant_039</v>
      </c>
      <c r="J513" t="str">
        <f>_xlfn.IFNA(VLOOKUP(C513,merchants!$A$2:$D$41,3,FALSE),"Merchant not found")</f>
        <v>entertainment</v>
      </c>
      <c r="K513" t="str">
        <f>_xlfn.IFNA(VLOOKUP(C513,merchants!$A$2:$D$41,4,FALSE),"Merchant not found")</f>
        <v>North</v>
      </c>
      <c r="L513" s="2">
        <f>HLOOKUP(F513,Fees!$B$1:$E$2,2,FALSE)</f>
        <v>0.02</v>
      </c>
    </row>
    <row r="514" spans="1:12" x14ac:dyDescent="0.3">
      <c r="A514" t="s">
        <v>527</v>
      </c>
      <c r="B514">
        <v>363</v>
      </c>
      <c r="C514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  <c r="I514" t="str">
        <f>_xlfn.IFNA(VLOOKUP(C514,merchants!$A$2:$D$41,2,FALSE),"Merchant not found")</f>
        <v>Merchant_027</v>
      </c>
      <c r="J514" t="str">
        <f>_xlfn.IFNA(VLOOKUP(C514,merchants!$A$2:$D$41,3,FALSE),"Merchant not found")</f>
        <v>ecommerce</v>
      </c>
      <c r="K514" t="str">
        <f>_xlfn.IFNA(VLOOKUP(C514,merchants!$A$2:$D$41,4,FALSE),"Merchant not found")</f>
        <v>North</v>
      </c>
      <c r="L514" s="2">
        <f>HLOOKUP(F514,Fees!$B$1:$E$2,2,FALSE)</f>
        <v>0.02</v>
      </c>
    </row>
    <row r="515" spans="1:12" x14ac:dyDescent="0.3">
      <c r="A515" t="s">
        <v>528</v>
      </c>
      <c r="B515">
        <v>364</v>
      </c>
      <c r="C515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  <c r="I515" t="str">
        <f>_xlfn.IFNA(VLOOKUP(C515,merchants!$A$2:$D$41,2,FALSE),"Merchant not found")</f>
        <v>Merchant_039</v>
      </c>
      <c r="J515" t="str">
        <f>_xlfn.IFNA(VLOOKUP(C515,merchants!$A$2:$D$41,3,FALSE),"Merchant not found")</f>
        <v>entertainment</v>
      </c>
      <c r="K515" t="str">
        <f>_xlfn.IFNA(VLOOKUP(C515,merchants!$A$2:$D$41,4,FALSE),"Merchant not found")</f>
        <v>North</v>
      </c>
      <c r="L515" s="2">
        <f>HLOOKUP(F515,Fees!$B$1:$E$2,2,FALSE)</f>
        <v>0.02</v>
      </c>
    </row>
    <row r="516" spans="1:12" x14ac:dyDescent="0.3">
      <c r="A516" t="s">
        <v>529</v>
      </c>
      <c r="B516">
        <v>365</v>
      </c>
      <c r="C516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  <c r="I516" t="str">
        <f>_xlfn.IFNA(VLOOKUP(C516,merchants!$A$2:$D$41,2,FALSE),"Merchant not found")</f>
        <v>Merchant_023</v>
      </c>
      <c r="J516" t="str">
        <f>_xlfn.IFNA(VLOOKUP(C516,merchants!$A$2:$D$41,3,FALSE),"Merchant not found")</f>
        <v>travel</v>
      </c>
      <c r="K516" t="str">
        <f>_xlfn.IFNA(VLOOKUP(C516,merchants!$A$2:$D$41,4,FALSE),"Merchant not found")</f>
        <v>North</v>
      </c>
      <c r="L516" s="2">
        <f>HLOOKUP(F516,Fees!$B$1:$E$2,2,FALSE)</f>
        <v>0.02</v>
      </c>
    </row>
    <row r="517" spans="1:12" x14ac:dyDescent="0.3">
      <c r="A517" t="s">
        <v>530</v>
      </c>
      <c r="B517">
        <v>314</v>
      </c>
      <c r="C517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  <c r="I517" t="str">
        <f>_xlfn.IFNA(VLOOKUP(C517,merchants!$A$2:$D$41,2,FALSE),"Merchant not found")</f>
        <v>Merchant_026</v>
      </c>
      <c r="J517" t="str">
        <f>_xlfn.IFNA(VLOOKUP(C517,merchants!$A$2:$D$41,3,FALSE),"Merchant not found")</f>
        <v>food_delivery</v>
      </c>
      <c r="K517" t="str">
        <f>_xlfn.IFNA(VLOOKUP(C517,merchants!$A$2:$D$41,4,FALSE),"Merchant not found")</f>
        <v>East</v>
      </c>
      <c r="L517" s="2">
        <f>HLOOKUP(F517,Fees!$B$1:$E$2,2,FALSE)</f>
        <v>0.02</v>
      </c>
    </row>
    <row r="518" spans="1:12" x14ac:dyDescent="0.3">
      <c r="A518" t="s">
        <v>531</v>
      </c>
      <c r="B518">
        <v>314</v>
      </c>
      <c r="C518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  <c r="I518" t="str">
        <f>_xlfn.IFNA(VLOOKUP(C518,merchants!$A$2:$D$41,2,FALSE),"Merchant not found")</f>
        <v>Merchant_007</v>
      </c>
      <c r="J518" t="str">
        <f>_xlfn.IFNA(VLOOKUP(C518,merchants!$A$2:$D$41,3,FALSE),"Merchant not found")</f>
        <v>food_delivery</v>
      </c>
      <c r="K518" t="str">
        <f>_xlfn.IFNA(VLOOKUP(C518,merchants!$A$2:$D$41,4,FALSE),"Merchant not found")</f>
        <v>East</v>
      </c>
      <c r="L518" s="2">
        <f>HLOOKUP(F518,Fees!$B$1:$E$2,2,FALSE)</f>
        <v>0.02</v>
      </c>
    </row>
    <row r="519" spans="1:12" x14ac:dyDescent="0.3">
      <c r="A519" t="s">
        <v>532</v>
      </c>
      <c r="B519">
        <v>314</v>
      </c>
      <c r="C519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  <c r="I519" t="str">
        <f>_xlfn.IFNA(VLOOKUP(C519,merchants!$A$2:$D$41,2,FALSE),"Merchant not found")</f>
        <v>Merchant_017</v>
      </c>
      <c r="J519" t="str">
        <f>_xlfn.IFNA(VLOOKUP(C519,merchants!$A$2:$D$41,3,FALSE),"Merchant not found")</f>
        <v>grocery</v>
      </c>
      <c r="K519" t="str">
        <f>_xlfn.IFNA(VLOOKUP(C519,merchants!$A$2:$D$41,4,FALSE),"Merchant not found")</f>
        <v>North</v>
      </c>
      <c r="L519" s="2">
        <f>HLOOKUP(F519,Fees!$B$1:$E$2,2,FALSE)</f>
        <v>0.02</v>
      </c>
    </row>
    <row r="520" spans="1:12" x14ac:dyDescent="0.3">
      <c r="A520" t="s">
        <v>533</v>
      </c>
      <c r="B520">
        <v>314</v>
      </c>
      <c r="C520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  <c r="I520" t="str">
        <f>_xlfn.IFNA(VLOOKUP(C520,merchants!$A$2:$D$41,2,FALSE),"Merchant not found")</f>
        <v>Merchant_034</v>
      </c>
      <c r="J520" t="str">
        <f>_xlfn.IFNA(VLOOKUP(C520,merchants!$A$2:$D$41,3,FALSE),"Merchant not found")</f>
        <v>travel</v>
      </c>
      <c r="K520" t="str">
        <f>_xlfn.IFNA(VLOOKUP(C520,merchants!$A$2:$D$41,4,FALSE),"Merchant not found")</f>
        <v>South</v>
      </c>
      <c r="L520" s="2">
        <f>HLOOKUP(F520,Fees!$B$1:$E$2,2,FALSE)</f>
        <v>0.02</v>
      </c>
    </row>
    <row r="521" spans="1:12" x14ac:dyDescent="0.3">
      <c r="A521" t="s">
        <v>534</v>
      </c>
      <c r="B521">
        <v>229</v>
      </c>
      <c r="C521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  <c r="I521" t="str">
        <f>_xlfn.IFNA(VLOOKUP(C521,merchants!$A$2:$D$41,2,FALSE),"Merchant not found")</f>
        <v>Merchant_030</v>
      </c>
      <c r="J521" t="str">
        <f>_xlfn.IFNA(VLOOKUP(C521,merchants!$A$2:$D$41,3,FALSE),"Merchant not found")</f>
        <v>travel</v>
      </c>
      <c r="K521" t="str">
        <f>_xlfn.IFNA(VLOOKUP(C521,merchants!$A$2:$D$41,4,FALSE),"Merchant not found")</f>
        <v>West</v>
      </c>
      <c r="L521" s="2">
        <f>HLOOKUP(F521,Fees!$B$1:$E$2,2,FALSE)</f>
        <v>0.02</v>
      </c>
    </row>
    <row r="522" spans="1:12" x14ac:dyDescent="0.3">
      <c r="A522" t="s">
        <v>535</v>
      </c>
      <c r="B522">
        <v>229</v>
      </c>
      <c r="C52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  <c r="I522" t="str">
        <f>_xlfn.IFNA(VLOOKUP(C522,merchants!$A$2:$D$41,2,FALSE),"Merchant not found")</f>
        <v>Merchant_010</v>
      </c>
      <c r="J522" t="str">
        <f>_xlfn.IFNA(VLOOKUP(C522,merchants!$A$2:$D$41,3,FALSE),"Merchant not found")</f>
        <v>grocery</v>
      </c>
      <c r="K522" t="str">
        <f>_xlfn.IFNA(VLOOKUP(C522,merchants!$A$2:$D$41,4,FALSE),"Merchant not found")</f>
        <v>West</v>
      </c>
      <c r="L522" s="2">
        <f>HLOOKUP(F522,Fees!$B$1:$E$2,2,FALSE)</f>
        <v>0.02</v>
      </c>
    </row>
    <row r="523" spans="1:12" x14ac:dyDescent="0.3">
      <c r="A523" t="s">
        <v>536</v>
      </c>
      <c r="B523">
        <v>229</v>
      </c>
      <c r="C523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  <c r="I523" t="str">
        <f>_xlfn.IFNA(VLOOKUP(C523,merchants!$A$2:$D$41,2,FALSE),"Merchant not found")</f>
        <v>Merchant_031</v>
      </c>
      <c r="J523" t="str">
        <f>_xlfn.IFNA(VLOOKUP(C523,merchants!$A$2:$D$41,3,FALSE),"Merchant not found")</f>
        <v>bill_payment</v>
      </c>
      <c r="K523" t="str">
        <f>_xlfn.IFNA(VLOOKUP(C523,merchants!$A$2:$D$41,4,FALSE),"Merchant not found")</f>
        <v>East</v>
      </c>
      <c r="L523" s="2">
        <f>HLOOKUP(F523,Fees!$B$1:$E$2,2,FALSE)</f>
        <v>0.02</v>
      </c>
    </row>
    <row r="524" spans="1:12" x14ac:dyDescent="0.3">
      <c r="A524" t="s">
        <v>537</v>
      </c>
      <c r="B524">
        <v>229</v>
      </c>
      <c r="C524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  <c r="I524" t="str">
        <f>_xlfn.IFNA(VLOOKUP(C524,merchants!$A$2:$D$41,2,FALSE),"Merchant not found")</f>
        <v>Merchant_027</v>
      </c>
      <c r="J524" t="str">
        <f>_xlfn.IFNA(VLOOKUP(C524,merchants!$A$2:$D$41,3,FALSE),"Merchant not found")</f>
        <v>ecommerce</v>
      </c>
      <c r="K524" t="str">
        <f>_xlfn.IFNA(VLOOKUP(C524,merchants!$A$2:$D$41,4,FALSE),"Merchant not found")</f>
        <v>North</v>
      </c>
      <c r="L524" s="2">
        <f>HLOOKUP(F524,Fees!$B$1:$E$2,2,FALSE)</f>
        <v>0.02</v>
      </c>
    </row>
    <row r="525" spans="1:12" x14ac:dyDescent="0.3">
      <c r="A525" t="s">
        <v>538</v>
      </c>
      <c r="B525">
        <v>73</v>
      </c>
      <c r="C525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  <c r="I525" t="str">
        <f>_xlfn.IFNA(VLOOKUP(C525,merchants!$A$2:$D$41,2,FALSE),"Merchant not found")</f>
        <v>Merchant_022</v>
      </c>
      <c r="J525" t="str">
        <f>_xlfn.IFNA(VLOOKUP(C525,merchants!$A$2:$D$41,3,FALSE),"Merchant not found")</f>
        <v>travel</v>
      </c>
      <c r="K525" t="str">
        <f>_xlfn.IFNA(VLOOKUP(C525,merchants!$A$2:$D$41,4,FALSE),"Merchant not found")</f>
        <v>South</v>
      </c>
      <c r="L525" s="2">
        <f>HLOOKUP(F525,Fees!$B$1:$E$2,2,FALSE)</f>
        <v>0.02</v>
      </c>
    </row>
    <row r="526" spans="1:12" x14ac:dyDescent="0.3">
      <c r="A526" t="s">
        <v>539</v>
      </c>
      <c r="B526">
        <v>73</v>
      </c>
      <c r="C526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  <c r="I526" t="str">
        <f>_xlfn.IFNA(VLOOKUP(C526,merchants!$A$2:$D$41,2,FALSE),"Merchant not found")</f>
        <v>Merchant_034</v>
      </c>
      <c r="J526" t="str">
        <f>_xlfn.IFNA(VLOOKUP(C526,merchants!$A$2:$D$41,3,FALSE),"Merchant not found")</f>
        <v>travel</v>
      </c>
      <c r="K526" t="str">
        <f>_xlfn.IFNA(VLOOKUP(C526,merchants!$A$2:$D$41,4,FALSE),"Merchant not found")</f>
        <v>South</v>
      </c>
      <c r="L526" s="2">
        <f>HLOOKUP(F526,Fees!$B$1:$E$2,2,FALSE)</f>
        <v>0.02</v>
      </c>
    </row>
    <row r="527" spans="1:12" x14ac:dyDescent="0.3">
      <c r="A527" t="s">
        <v>540</v>
      </c>
      <c r="B527">
        <v>73</v>
      </c>
      <c r="C527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  <c r="I527" t="str">
        <f>_xlfn.IFNA(VLOOKUP(C527,merchants!$A$2:$D$41,2,FALSE),"Merchant not found")</f>
        <v>Merchant_031</v>
      </c>
      <c r="J527" t="str">
        <f>_xlfn.IFNA(VLOOKUP(C527,merchants!$A$2:$D$41,3,FALSE),"Merchant not found")</f>
        <v>bill_payment</v>
      </c>
      <c r="K527" t="str">
        <f>_xlfn.IFNA(VLOOKUP(C527,merchants!$A$2:$D$41,4,FALSE),"Merchant not found")</f>
        <v>East</v>
      </c>
      <c r="L527" s="2">
        <f>HLOOKUP(F527,Fees!$B$1:$E$2,2,FALSE)</f>
        <v>0.02</v>
      </c>
    </row>
    <row r="528" spans="1:12" x14ac:dyDescent="0.3">
      <c r="A528" t="s">
        <v>541</v>
      </c>
      <c r="B528">
        <v>73</v>
      </c>
      <c r="C528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  <c r="I528" t="str">
        <f>_xlfn.IFNA(VLOOKUP(C528,merchants!$A$2:$D$41,2,FALSE),"Merchant not found")</f>
        <v>Merchant_029</v>
      </c>
      <c r="J528" t="str">
        <f>_xlfn.IFNA(VLOOKUP(C528,merchants!$A$2:$D$41,3,FALSE),"Merchant not found")</f>
        <v>ecommerce</v>
      </c>
      <c r="K528" t="str">
        <f>_xlfn.IFNA(VLOOKUP(C528,merchants!$A$2:$D$41,4,FALSE),"Merchant not found")</f>
        <v>North</v>
      </c>
      <c r="L528" s="2">
        <f>HLOOKUP(F528,Fees!$B$1:$E$2,2,FALSE)</f>
        <v>0.02</v>
      </c>
    </row>
    <row r="529" spans="1:12" x14ac:dyDescent="0.3">
      <c r="A529" t="s">
        <v>542</v>
      </c>
      <c r="B529">
        <v>154</v>
      </c>
      <c r="C529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  <c r="I529" t="str">
        <f>_xlfn.IFNA(VLOOKUP(C529,merchants!$A$2:$D$41,2,FALSE),"Merchant not found")</f>
        <v>Merchant_008</v>
      </c>
      <c r="J529" t="str">
        <f>_xlfn.IFNA(VLOOKUP(C529,merchants!$A$2:$D$41,3,FALSE),"Merchant not found")</f>
        <v>food_delivery</v>
      </c>
      <c r="K529" t="str">
        <f>_xlfn.IFNA(VLOOKUP(C529,merchants!$A$2:$D$41,4,FALSE),"Merchant not found")</f>
        <v>North</v>
      </c>
      <c r="L529" s="2">
        <f>HLOOKUP(F529,Fees!$B$1:$E$2,2,FALSE)</f>
        <v>0.02</v>
      </c>
    </row>
    <row r="530" spans="1:12" x14ac:dyDescent="0.3">
      <c r="A530" t="s">
        <v>543</v>
      </c>
      <c r="B530">
        <v>154</v>
      </c>
      <c r="C530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  <c r="I530" t="str">
        <f>_xlfn.IFNA(VLOOKUP(C530,merchants!$A$2:$D$41,2,FALSE),"Merchant not found")</f>
        <v>Merchant_007</v>
      </c>
      <c r="J530" t="str">
        <f>_xlfn.IFNA(VLOOKUP(C530,merchants!$A$2:$D$41,3,FALSE),"Merchant not found")</f>
        <v>food_delivery</v>
      </c>
      <c r="K530" t="str">
        <f>_xlfn.IFNA(VLOOKUP(C530,merchants!$A$2:$D$41,4,FALSE),"Merchant not found")</f>
        <v>East</v>
      </c>
      <c r="L530" s="2">
        <f>HLOOKUP(F530,Fees!$B$1:$E$2,2,FALSE)</f>
        <v>0.02</v>
      </c>
    </row>
    <row r="531" spans="1:12" x14ac:dyDescent="0.3">
      <c r="A531" t="s">
        <v>544</v>
      </c>
      <c r="B531">
        <v>154</v>
      </c>
      <c r="C531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  <c r="I531" t="str">
        <f>_xlfn.IFNA(VLOOKUP(C531,merchants!$A$2:$D$41,2,FALSE),"Merchant not found")</f>
        <v>Merchant_016</v>
      </c>
      <c r="J531" t="str">
        <f>_xlfn.IFNA(VLOOKUP(C531,merchants!$A$2:$D$41,3,FALSE),"Merchant not found")</f>
        <v>bill_payment</v>
      </c>
      <c r="K531" t="str">
        <f>_xlfn.IFNA(VLOOKUP(C531,merchants!$A$2:$D$41,4,FALSE),"Merchant not found")</f>
        <v>West</v>
      </c>
      <c r="L531" s="2">
        <f>HLOOKUP(F531,Fees!$B$1:$E$2,2,FALSE)</f>
        <v>0.02</v>
      </c>
    </row>
    <row r="532" spans="1:12" x14ac:dyDescent="0.3">
      <c r="A532" t="s">
        <v>545</v>
      </c>
      <c r="B532">
        <v>154</v>
      </c>
      <c r="C53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  <c r="I532" t="str">
        <f>_xlfn.IFNA(VLOOKUP(C532,merchants!$A$2:$D$41,2,FALSE),"Merchant not found")</f>
        <v>Merchant_036</v>
      </c>
      <c r="J532" t="str">
        <f>_xlfn.IFNA(VLOOKUP(C532,merchants!$A$2:$D$41,3,FALSE),"Merchant not found")</f>
        <v>entertainment</v>
      </c>
      <c r="K532" t="str">
        <f>_xlfn.IFNA(VLOOKUP(C532,merchants!$A$2:$D$41,4,FALSE),"Merchant not found")</f>
        <v>East</v>
      </c>
      <c r="L532" s="2">
        <f>HLOOKUP(F532,Fees!$B$1:$E$2,2,FALSE)</f>
        <v>0.02</v>
      </c>
    </row>
    <row r="533" spans="1:12" x14ac:dyDescent="0.3">
      <c r="A533" t="s">
        <v>546</v>
      </c>
      <c r="B533">
        <v>287</v>
      </c>
      <c r="C533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  <c r="I533" t="str">
        <f>_xlfn.IFNA(VLOOKUP(C533,merchants!$A$2:$D$41,2,FALSE),"Merchant not found")</f>
        <v>Merchant_015</v>
      </c>
      <c r="J533" t="str">
        <f>_xlfn.IFNA(VLOOKUP(C533,merchants!$A$2:$D$41,3,FALSE),"Merchant not found")</f>
        <v>travel</v>
      </c>
      <c r="K533" t="str">
        <f>_xlfn.IFNA(VLOOKUP(C533,merchants!$A$2:$D$41,4,FALSE),"Merchant not found")</f>
        <v>North</v>
      </c>
      <c r="L533" s="2">
        <f>HLOOKUP(F533,Fees!$B$1:$E$2,2,FALSE)</f>
        <v>0.02</v>
      </c>
    </row>
    <row r="534" spans="1:12" x14ac:dyDescent="0.3">
      <c r="A534" t="s">
        <v>547</v>
      </c>
      <c r="B534">
        <v>287</v>
      </c>
      <c r="C534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  <c r="I534" t="str">
        <f>_xlfn.IFNA(VLOOKUP(C534,merchants!$A$2:$D$41,2,FALSE),"Merchant not found")</f>
        <v>Merchant_012</v>
      </c>
      <c r="J534" t="str">
        <f>_xlfn.IFNA(VLOOKUP(C534,merchants!$A$2:$D$41,3,FALSE),"Merchant not found")</f>
        <v>ecommerce</v>
      </c>
      <c r="K534" t="str">
        <f>_xlfn.IFNA(VLOOKUP(C534,merchants!$A$2:$D$41,4,FALSE),"Merchant not found")</f>
        <v>East</v>
      </c>
      <c r="L534" s="2">
        <f>HLOOKUP(F534,Fees!$B$1:$E$2,2,FALSE)</f>
        <v>0.02</v>
      </c>
    </row>
    <row r="535" spans="1:12" x14ac:dyDescent="0.3">
      <c r="A535" t="s">
        <v>548</v>
      </c>
      <c r="B535">
        <v>287</v>
      </c>
      <c r="C535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  <c r="I535" t="str">
        <f>_xlfn.IFNA(VLOOKUP(C535,merchants!$A$2:$D$41,2,FALSE),"Merchant not found")</f>
        <v>Merchant_026</v>
      </c>
      <c r="J535" t="str">
        <f>_xlfn.IFNA(VLOOKUP(C535,merchants!$A$2:$D$41,3,FALSE),"Merchant not found")</f>
        <v>food_delivery</v>
      </c>
      <c r="K535" t="str">
        <f>_xlfn.IFNA(VLOOKUP(C535,merchants!$A$2:$D$41,4,FALSE),"Merchant not found")</f>
        <v>East</v>
      </c>
      <c r="L535" s="2">
        <f>HLOOKUP(F535,Fees!$B$1:$E$2,2,FALSE)</f>
        <v>0.02</v>
      </c>
    </row>
    <row r="536" spans="1:12" x14ac:dyDescent="0.3">
      <c r="A536" t="s">
        <v>549</v>
      </c>
      <c r="B536">
        <v>287</v>
      </c>
      <c r="C536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  <c r="I536" t="str">
        <f>_xlfn.IFNA(VLOOKUP(C536,merchants!$A$2:$D$41,2,FALSE),"Merchant not found")</f>
        <v>Merchant_029</v>
      </c>
      <c r="J536" t="str">
        <f>_xlfn.IFNA(VLOOKUP(C536,merchants!$A$2:$D$41,3,FALSE),"Merchant not found")</f>
        <v>ecommerce</v>
      </c>
      <c r="K536" t="str">
        <f>_xlfn.IFNA(VLOOKUP(C536,merchants!$A$2:$D$41,4,FALSE),"Merchant not found")</f>
        <v>North</v>
      </c>
      <c r="L536" s="2">
        <f>HLOOKUP(F536,Fees!$B$1:$E$2,2,FALSE)</f>
        <v>0.02</v>
      </c>
    </row>
    <row r="537" spans="1:12" x14ac:dyDescent="0.3">
      <c r="A537" t="s">
        <v>550</v>
      </c>
      <c r="B537">
        <v>200</v>
      </c>
      <c r="C537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  <c r="I537" t="str">
        <f>_xlfn.IFNA(VLOOKUP(C537,merchants!$A$2:$D$41,2,FALSE),"Merchant not found")</f>
        <v>Merchant_014</v>
      </c>
      <c r="J537" t="str">
        <f>_xlfn.IFNA(VLOOKUP(C537,merchants!$A$2:$D$41,3,FALSE),"Merchant not found")</f>
        <v>grocery</v>
      </c>
      <c r="K537" t="str">
        <f>_xlfn.IFNA(VLOOKUP(C537,merchants!$A$2:$D$41,4,FALSE),"Merchant not found")</f>
        <v>East</v>
      </c>
      <c r="L537" s="2">
        <f>HLOOKUP(F537,Fees!$B$1:$E$2,2,FALSE)</f>
        <v>0.02</v>
      </c>
    </row>
    <row r="538" spans="1:12" x14ac:dyDescent="0.3">
      <c r="A538" t="s">
        <v>551</v>
      </c>
      <c r="B538">
        <v>200</v>
      </c>
      <c r="C538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  <c r="I538" t="str">
        <f>_xlfn.IFNA(VLOOKUP(C538,merchants!$A$2:$D$41,2,FALSE),"Merchant not found")</f>
        <v>Merchant_005</v>
      </c>
      <c r="J538" t="str">
        <f>_xlfn.IFNA(VLOOKUP(C538,merchants!$A$2:$D$41,3,FALSE),"Merchant not found")</f>
        <v>recharge</v>
      </c>
      <c r="K538" t="str">
        <f>_xlfn.IFNA(VLOOKUP(C538,merchants!$A$2:$D$41,4,FALSE),"Merchant not found")</f>
        <v>South</v>
      </c>
      <c r="L538" s="2">
        <f>HLOOKUP(F538,Fees!$B$1:$E$2,2,FALSE)</f>
        <v>0.02</v>
      </c>
    </row>
    <row r="539" spans="1:12" x14ac:dyDescent="0.3">
      <c r="A539" t="s">
        <v>552</v>
      </c>
      <c r="B539">
        <v>200</v>
      </c>
      <c r="C539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  <c r="I539" t="str">
        <f>_xlfn.IFNA(VLOOKUP(C539,merchants!$A$2:$D$41,2,FALSE),"Merchant not found")</f>
        <v>Merchant_035</v>
      </c>
      <c r="J539" t="str">
        <f>_xlfn.IFNA(VLOOKUP(C539,merchants!$A$2:$D$41,3,FALSE),"Merchant not found")</f>
        <v>recharge</v>
      </c>
      <c r="K539" t="str">
        <f>_xlfn.IFNA(VLOOKUP(C539,merchants!$A$2:$D$41,4,FALSE),"Merchant not found")</f>
        <v>East</v>
      </c>
      <c r="L539" s="2">
        <f>HLOOKUP(F539,Fees!$B$1:$E$2,2,FALSE)</f>
        <v>0.02</v>
      </c>
    </row>
    <row r="540" spans="1:12" x14ac:dyDescent="0.3">
      <c r="A540" t="s">
        <v>553</v>
      </c>
      <c r="B540">
        <v>200</v>
      </c>
      <c r="C540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  <c r="I540" t="str">
        <f>_xlfn.IFNA(VLOOKUP(C540,merchants!$A$2:$D$41,2,FALSE),"Merchant not found")</f>
        <v>Merchant_021</v>
      </c>
      <c r="J540" t="str">
        <f>_xlfn.IFNA(VLOOKUP(C540,merchants!$A$2:$D$41,3,FALSE),"Merchant not found")</f>
        <v>food_delivery</v>
      </c>
      <c r="K540" t="str">
        <f>_xlfn.IFNA(VLOOKUP(C540,merchants!$A$2:$D$41,4,FALSE),"Merchant not found")</f>
        <v>East</v>
      </c>
      <c r="L540" s="2">
        <f>HLOOKUP(F540,Fees!$B$1:$E$2,2,FALSE)</f>
        <v>0.02</v>
      </c>
    </row>
    <row r="541" spans="1:12" x14ac:dyDescent="0.3">
      <c r="A541" t="s">
        <v>554</v>
      </c>
      <c r="B541">
        <v>59</v>
      </c>
      <c r="C541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  <c r="I541" t="str">
        <f>_xlfn.IFNA(VLOOKUP(C541,merchants!$A$2:$D$41,2,FALSE),"Merchant not found")</f>
        <v>Merchant_032</v>
      </c>
      <c r="J541" t="str">
        <f>_xlfn.IFNA(VLOOKUP(C541,merchants!$A$2:$D$41,3,FALSE),"Merchant not found")</f>
        <v>food_delivery</v>
      </c>
      <c r="K541" t="str">
        <f>_xlfn.IFNA(VLOOKUP(C541,merchants!$A$2:$D$41,4,FALSE),"Merchant not found")</f>
        <v>West</v>
      </c>
      <c r="L541" s="2">
        <f>HLOOKUP(F541,Fees!$B$1:$E$2,2,FALSE)</f>
        <v>0.02</v>
      </c>
    </row>
    <row r="542" spans="1:12" x14ac:dyDescent="0.3">
      <c r="A542" t="s">
        <v>555</v>
      </c>
      <c r="B542">
        <v>59</v>
      </c>
      <c r="C54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  <c r="I542" t="str">
        <f>_xlfn.IFNA(VLOOKUP(C542,merchants!$A$2:$D$41,2,FALSE),"Merchant not found")</f>
        <v>Merchant_039</v>
      </c>
      <c r="J542" t="str">
        <f>_xlfn.IFNA(VLOOKUP(C542,merchants!$A$2:$D$41,3,FALSE),"Merchant not found")</f>
        <v>entertainment</v>
      </c>
      <c r="K542" t="str">
        <f>_xlfn.IFNA(VLOOKUP(C542,merchants!$A$2:$D$41,4,FALSE),"Merchant not found")</f>
        <v>North</v>
      </c>
      <c r="L542" s="2">
        <f>HLOOKUP(F542,Fees!$B$1:$E$2,2,FALSE)</f>
        <v>0.02</v>
      </c>
    </row>
    <row r="543" spans="1:12" x14ac:dyDescent="0.3">
      <c r="A543" t="s">
        <v>556</v>
      </c>
      <c r="B543">
        <v>59</v>
      </c>
      <c r="C543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  <c r="I543" t="str">
        <f>_xlfn.IFNA(VLOOKUP(C543,merchants!$A$2:$D$41,2,FALSE),"Merchant not found")</f>
        <v>Merchant_038</v>
      </c>
      <c r="J543" t="str">
        <f>_xlfn.IFNA(VLOOKUP(C543,merchants!$A$2:$D$41,3,FALSE),"Merchant not found")</f>
        <v>grocery</v>
      </c>
      <c r="K543" t="str">
        <f>_xlfn.IFNA(VLOOKUP(C543,merchants!$A$2:$D$41,4,FALSE),"Merchant not found")</f>
        <v>East</v>
      </c>
      <c r="L543" s="2">
        <f>HLOOKUP(F543,Fees!$B$1:$E$2,2,FALSE)</f>
        <v>0.02</v>
      </c>
    </row>
    <row r="544" spans="1:12" x14ac:dyDescent="0.3">
      <c r="A544" t="s">
        <v>557</v>
      </c>
      <c r="B544">
        <v>59</v>
      </c>
      <c r="C544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  <c r="I544" t="str">
        <f>_xlfn.IFNA(VLOOKUP(C544,merchants!$A$2:$D$41,2,FALSE),"Merchant not found")</f>
        <v>Merchant_023</v>
      </c>
      <c r="J544" t="str">
        <f>_xlfn.IFNA(VLOOKUP(C544,merchants!$A$2:$D$41,3,FALSE),"Merchant not found")</f>
        <v>travel</v>
      </c>
      <c r="K544" t="str">
        <f>_xlfn.IFNA(VLOOKUP(C544,merchants!$A$2:$D$41,4,FALSE),"Merchant not found")</f>
        <v>North</v>
      </c>
      <c r="L544" s="2">
        <f>HLOOKUP(F544,Fees!$B$1:$E$2,2,FALSE)</f>
        <v>0.02</v>
      </c>
    </row>
    <row r="545" spans="1:12" x14ac:dyDescent="0.3">
      <c r="A545" t="s">
        <v>558</v>
      </c>
      <c r="B545">
        <v>345</v>
      </c>
      <c r="C545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  <c r="I545" t="str">
        <f>_xlfn.IFNA(VLOOKUP(C545,merchants!$A$2:$D$41,2,FALSE),"Merchant not found")</f>
        <v>Merchant_040</v>
      </c>
      <c r="J545" t="str">
        <f>_xlfn.IFNA(VLOOKUP(C545,merchants!$A$2:$D$41,3,FALSE),"Merchant not found")</f>
        <v>entertainment</v>
      </c>
      <c r="K545" t="str">
        <f>_xlfn.IFNA(VLOOKUP(C545,merchants!$A$2:$D$41,4,FALSE),"Merchant not found")</f>
        <v>South</v>
      </c>
      <c r="L545" s="2">
        <f>HLOOKUP(F545,Fees!$B$1:$E$2,2,FALSE)</f>
        <v>0.02</v>
      </c>
    </row>
    <row r="546" spans="1:12" x14ac:dyDescent="0.3">
      <c r="A546" t="s">
        <v>559</v>
      </c>
      <c r="B546">
        <v>345</v>
      </c>
      <c r="C546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  <c r="I546" t="str">
        <f>_xlfn.IFNA(VLOOKUP(C546,merchants!$A$2:$D$41,2,FALSE),"Merchant not found")</f>
        <v>Merchant_009</v>
      </c>
      <c r="J546" t="str">
        <f>_xlfn.IFNA(VLOOKUP(C546,merchants!$A$2:$D$41,3,FALSE),"Merchant not found")</f>
        <v>ecommerce</v>
      </c>
      <c r="K546" t="str">
        <f>_xlfn.IFNA(VLOOKUP(C546,merchants!$A$2:$D$41,4,FALSE),"Merchant not found")</f>
        <v>North</v>
      </c>
      <c r="L546" s="2">
        <f>HLOOKUP(F546,Fees!$B$1:$E$2,2,FALSE)</f>
        <v>0.02</v>
      </c>
    </row>
    <row r="547" spans="1:12" x14ac:dyDescent="0.3">
      <c r="A547" t="s">
        <v>560</v>
      </c>
      <c r="B547">
        <v>345</v>
      </c>
      <c r="C547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  <c r="I547" t="str">
        <f>_xlfn.IFNA(VLOOKUP(C547,merchants!$A$2:$D$41,2,FALSE),"Merchant not found")</f>
        <v>Merchant_016</v>
      </c>
      <c r="J547" t="str">
        <f>_xlfn.IFNA(VLOOKUP(C547,merchants!$A$2:$D$41,3,FALSE),"Merchant not found")</f>
        <v>bill_payment</v>
      </c>
      <c r="K547" t="str">
        <f>_xlfn.IFNA(VLOOKUP(C547,merchants!$A$2:$D$41,4,FALSE),"Merchant not found")</f>
        <v>West</v>
      </c>
      <c r="L547" s="2">
        <f>HLOOKUP(F547,Fees!$B$1:$E$2,2,FALSE)</f>
        <v>0.02</v>
      </c>
    </row>
    <row r="548" spans="1:12" x14ac:dyDescent="0.3">
      <c r="A548" t="s">
        <v>561</v>
      </c>
      <c r="B548">
        <v>345</v>
      </c>
      <c r="C548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  <c r="I548" t="str">
        <f>_xlfn.IFNA(VLOOKUP(C548,merchants!$A$2:$D$41,2,FALSE),"Merchant not found")</f>
        <v>Merchant_012</v>
      </c>
      <c r="J548" t="str">
        <f>_xlfn.IFNA(VLOOKUP(C548,merchants!$A$2:$D$41,3,FALSE),"Merchant not found")</f>
        <v>ecommerce</v>
      </c>
      <c r="K548" t="str">
        <f>_xlfn.IFNA(VLOOKUP(C548,merchants!$A$2:$D$41,4,FALSE),"Merchant not found")</f>
        <v>East</v>
      </c>
      <c r="L548" s="2">
        <f>HLOOKUP(F548,Fees!$B$1:$E$2,2,FALSE)</f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6EE0-9D8F-4A3A-B3E3-99420D2C02BE}">
  <dimension ref="A1:F2"/>
  <sheetViews>
    <sheetView workbookViewId="0">
      <selection activeCell="D3" sqref="D3"/>
    </sheetView>
  </sheetViews>
  <sheetFormatPr defaultRowHeight="14.4" x14ac:dyDescent="0.3"/>
  <cols>
    <col min="1" max="1" width="15" bestFit="1" customWidth="1"/>
    <col min="5" max="5" width="10.21875" bestFit="1" customWidth="1"/>
  </cols>
  <sheetData>
    <row r="1" spans="1:6" x14ac:dyDescent="0.3">
      <c r="A1" t="s">
        <v>617</v>
      </c>
      <c r="B1" t="s">
        <v>12</v>
      </c>
      <c r="C1" t="s">
        <v>9</v>
      </c>
      <c r="D1" t="s">
        <v>24</v>
      </c>
      <c r="E1" t="s">
        <v>15</v>
      </c>
    </row>
    <row r="2" spans="1:6" x14ac:dyDescent="0.3">
      <c r="A2" t="s">
        <v>618</v>
      </c>
      <c r="B2" s="2">
        <v>0</v>
      </c>
      <c r="C2" s="2">
        <v>1.4999999999999999E-2</v>
      </c>
      <c r="D2" s="2">
        <v>0.02</v>
      </c>
      <c r="E2" s="2">
        <v>0.01</v>
      </c>
      <c r="F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ABD5-584C-4541-8B6F-224922CE1F51}">
  <dimension ref="A1:D41"/>
  <sheetViews>
    <sheetView workbookViewId="0">
      <selection activeCell="D13" sqref="D13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6640625" bestFit="1" customWidth="1"/>
    <col min="4" max="4" width="6.109375" bestFit="1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t="s">
        <v>565</v>
      </c>
      <c r="C2" t="s">
        <v>566</v>
      </c>
      <c r="D2" t="s">
        <v>567</v>
      </c>
    </row>
    <row r="3" spans="1:4" x14ac:dyDescent="0.3">
      <c r="A3">
        <v>2</v>
      </c>
      <c r="B3" t="s">
        <v>568</v>
      </c>
      <c r="C3" t="s">
        <v>569</v>
      </c>
      <c r="D3" t="s">
        <v>570</v>
      </c>
    </row>
    <row r="4" spans="1:4" x14ac:dyDescent="0.3">
      <c r="A4">
        <v>3</v>
      </c>
      <c r="B4" t="s">
        <v>571</v>
      </c>
      <c r="C4" t="s">
        <v>569</v>
      </c>
      <c r="D4" t="s">
        <v>572</v>
      </c>
    </row>
    <row r="5" spans="1:4" x14ac:dyDescent="0.3">
      <c r="A5">
        <v>4</v>
      </c>
      <c r="B5" t="s">
        <v>573</v>
      </c>
      <c r="C5" t="s">
        <v>566</v>
      </c>
      <c r="D5" t="s">
        <v>572</v>
      </c>
    </row>
    <row r="6" spans="1:4" x14ac:dyDescent="0.3">
      <c r="A6">
        <v>5</v>
      </c>
      <c r="B6" t="s">
        <v>574</v>
      </c>
      <c r="C6" t="s">
        <v>575</v>
      </c>
      <c r="D6" t="s">
        <v>567</v>
      </c>
    </row>
    <row r="7" spans="1:4" x14ac:dyDescent="0.3">
      <c r="A7">
        <v>6</v>
      </c>
      <c r="B7" t="s">
        <v>576</v>
      </c>
      <c r="C7" t="s">
        <v>577</v>
      </c>
      <c r="D7" t="s">
        <v>567</v>
      </c>
    </row>
    <row r="8" spans="1:4" x14ac:dyDescent="0.3">
      <c r="A8">
        <v>7</v>
      </c>
      <c r="B8" t="s">
        <v>578</v>
      </c>
      <c r="C8" t="s">
        <v>577</v>
      </c>
      <c r="D8" t="s">
        <v>572</v>
      </c>
    </row>
    <row r="9" spans="1:4" x14ac:dyDescent="0.3">
      <c r="A9">
        <v>8</v>
      </c>
      <c r="B9" t="s">
        <v>579</v>
      </c>
      <c r="C9" t="s">
        <v>577</v>
      </c>
      <c r="D9" t="s">
        <v>580</v>
      </c>
    </row>
    <row r="10" spans="1:4" x14ac:dyDescent="0.3">
      <c r="A10">
        <v>9</v>
      </c>
      <c r="B10" t="s">
        <v>581</v>
      </c>
      <c r="C10" t="s">
        <v>566</v>
      </c>
      <c r="D10" t="s">
        <v>580</v>
      </c>
    </row>
    <row r="11" spans="1:4" x14ac:dyDescent="0.3">
      <c r="A11">
        <v>10</v>
      </c>
      <c r="B11" t="s">
        <v>582</v>
      </c>
      <c r="C11" t="s">
        <v>569</v>
      </c>
      <c r="D11" t="s">
        <v>570</v>
      </c>
    </row>
    <row r="12" spans="1:4" x14ac:dyDescent="0.3">
      <c r="A12">
        <v>11</v>
      </c>
      <c r="B12" t="s">
        <v>583</v>
      </c>
      <c r="C12" t="s">
        <v>566</v>
      </c>
      <c r="D12" t="s">
        <v>580</v>
      </c>
    </row>
    <row r="13" spans="1:4" x14ac:dyDescent="0.3">
      <c r="A13">
        <v>12</v>
      </c>
      <c r="B13" t="s">
        <v>584</v>
      </c>
      <c r="C13" t="s">
        <v>566</v>
      </c>
      <c r="D13" t="s">
        <v>572</v>
      </c>
    </row>
    <row r="14" spans="1:4" x14ac:dyDescent="0.3">
      <c r="A14">
        <v>13</v>
      </c>
      <c r="B14" t="s">
        <v>585</v>
      </c>
      <c r="C14" t="s">
        <v>586</v>
      </c>
      <c r="D14" t="s">
        <v>572</v>
      </c>
    </row>
    <row r="15" spans="1:4" x14ac:dyDescent="0.3">
      <c r="A15">
        <v>14</v>
      </c>
      <c r="B15" t="s">
        <v>587</v>
      </c>
      <c r="C15" t="s">
        <v>569</v>
      </c>
      <c r="D15" t="s">
        <v>572</v>
      </c>
    </row>
    <row r="16" spans="1:4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transactions-views</vt:lpstr>
      <vt:lpstr>Fees</vt:lpstr>
      <vt:lpstr>merchants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Budige</dc:creator>
  <cp:lastModifiedBy>Avinash Budige</cp:lastModifiedBy>
  <dcterms:created xsi:type="dcterms:W3CDTF">2026-08-24T02:15:09Z</dcterms:created>
  <dcterms:modified xsi:type="dcterms:W3CDTF">2026-08-25T04:07:21Z</dcterms:modified>
</cp:coreProperties>
</file>