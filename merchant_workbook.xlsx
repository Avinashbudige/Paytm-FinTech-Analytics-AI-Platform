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kama karma\nidhidyasana\Paytm-FinTech-Analytics-AI-Platform\payments_fraud_analytics\"/>
    </mc:Choice>
  </mc:AlternateContent>
  <xr:revisionPtr revIDLastSave="0" documentId="13_ncr:1_{A7EFA3E0-BA76-4A2A-BFE5-928C894273E4}" xr6:coauthVersionLast="47" xr6:coauthVersionMax="47" xr10:uidLastSave="{00000000-0000-0000-0000-000000000000}"/>
  <bookViews>
    <workbookView xWindow="-108" yWindow="-108" windowWidth="23256" windowHeight="12456" tabRatio="673" activeTab="2" xr2:uid="{58C30711-CDBF-4E0C-9665-D9EAF6FD8067}"/>
  </bookViews>
  <sheets>
    <sheet name="Daily Totals" sheetId="5" r:id="rId1"/>
    <sheet name="Merchant Summary" sheetId="9" r:id="rId2"/>
    <sheet name="transactions-views" sheetId="1" r:id="rId3"/>
    <sheet name="Fees" sheetId="4" r:id="rId4"/>
    <sheet name="merchants" sheetId="2" r:id="rId5"/>
  </sheets>
  <definedNames>
    <definedName name="_xlcn.WorksheetConnection_transactionsviewsA1N5481" hidden="1">'transactions-views'!$A$1:$N$548</definedName>
  </definedNames>
  <calcPr calcId="181029"/>
  <pivotCaches>
    <pivotCache cacheId="13" r:id="rId6"/>
    <pivotCache cacheId="4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ransactions-views!$A$1:$N$548"/>
        </x15:modelTables>
      </x15:dataModel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3" i="1"/>
  <c r="E4" i="1"/>
  <c r="E5" i="1"/>
  <c r="E6" i="1"/>
  <c r="E7" i="1"/>
  <c r="E8" i="1"/>
  <c r="E9" i="1"/>
  <c r="E10" i="1"/>
  <c r="E11" i="1"/>
  <c r="E12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L2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N3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N243" i="1"/>
  <c r="N251" i="1"/>
  <c r="N259" i="1"/>
  <c r="N267" i="1"/>
  <c r="N275" i="1"/>
  <c r="N283" i="1"/>
  <c r="N291" i="1"/>
  <c r="N299" i="1"/>
  <c r="N307" i="1"/>
  <c r="N315" i="1"/>
  <c r="N323" i="1"/>
  <c r="N331" i="1"/>
  <c r="N339" i="1"/>
  <c r="N347" i="1"/>
  <c r="N355" i="1"/>
  <c r="N363" i="1"/>
  <c r="N371" i="1"/>
  <c r="N379" i="1"/>
  <c r="N387" i="1"/>
  <c r="N395" i="1"/>
  <c r="N403" i="1"/>
  <c r="N411" i="1"/>
  <c r="N419" i="1"/>
  <c r="N427" i="1"/>
  <c r="N435" i="1"/>
  <c r="N443" i="1"/>
  <c r="N451" i="1"/>
  <c r="N459" i="1"/>
  <c r="N467" i="1"/>
  <c r="N475" i="1"/>
  <c r="N483" i="1"/>
  <c r="N491" i="1"/>
  <c r="N499" i="1"/>
  <c r="N507" i="1"/>
  <c r="N515" i="1"/>
  <c r="N523" i="1"/>
  <c r="N531" i="1"/>
  <c r="N539" i="1"/>
  <c r="N547" i="1"/>
  <c r="N343" i="1"/>
  <c r="N439" i="1"/>
  <c r="N471" i="1"/>
  <c r="N519" i="1"/>
  <c r="N520" i="1"/>
  <c r="N41" i="1"/>
  <c r="N105" i="1"/>
  <c r="N137" i="1"/>
  <c r="N185" i="1"/>
  <c r="N225" i="1"/>
  <c r="N305" i="1"/>
  <c r="N353" i="1"/>
  <c r="N417" i="1"/>
  <c r="N465" i="1"/>
  <c r="N521" i="1"/>
  <c r="N146" i="1"/>
  <c r="N234" i="1"/>
  <c r="N306" i="1"/>
  <c r="N370" i="1"/>
  <c r="N450" i="1"/>
  <c r="N522" i="1"/>
  <c r="N4" i="1"/>
  <c r="N12" i="1"/>
  <c r="N20" i="1"/>
  <c r="N28" i="1"/>
  <c r="N36" i="1"/>
  <c r="N44" i="1"/>
  <c r="N52" i="1"/>
  <c r="N60" i="1"/>
  <c r="N68" i="1"/>
  <c r="N76" i="1"/>
  <c r="N84" i="1"/>
  <c r="N92" i="1"/>
  <c r="N100" i="1"/>
  <c r="N108" i="1"/>
  <c r="N116" i="1"/>
  <c r="N124" i="1"/>
  <c r="N132" i="1"/>
  <c r="N140" i="1"/>
  <c r="N148" i="1"/>
  <c r="N156" i="1"/>
  <c r="N164" i="1"/>
  <c r="N172" i="1"/>
  <c r="N180" i="1"/>
  <c r="N188" i="1"/>
  <c r="N196" i="1"/>
  <c r="N204" i="1"/>
  <c r="N212" i="1"/>
  <c r="N220" i="1"/>
  <c r="N228" i="1"/>
  <c r="N236" i="1"/>
  <c r="N244" i="1"/>
  <c r="N252" i="1"/>
  <c r="N260" i="1"/>
  <c r="N268" i="1"/>
  <c r="N276" i="1"/>
  <c r="N284" i="1"/>
  <c r="N292" i="1"/>
  <c r="N300" i="1"/>
  <c r="N308" i="1"/>
  <c r="N316" i="1"/>
  <c r="N324" i="1"/>
  <c r="N332" i="1"/>
  <c r="N340" i="1"/>
  <c r="N348" i="1"/>
  <c r="N356" i="1"/>
  <c r="N364" i="1"/>
  <c r="N372" i="1"/>
  <c r="N380" i="1"/>
  <c r="N388" i="1"/>
  <c r="N396" i="1"/>
  <c r="N404" i="1"/>
  <c r="N412" i="1"/>
  <c r="N420" i="1"/>
  <c r="N428" i="1"/>
  <c r="N436" i="1"/>
  <c r="N444" i="1"/>
  <c r="N452" i="1"/>
  <c r="N460" i="1"/>
  <c r="N468" i="1"/>
  <c r="N476" i="1"/>
  <c r="N484" i="1"/>
  <c r="N492" i="1"/>
  <c r="N500" i="1"/>
  <c r="N508" i="1"/>
  <c r="N516" i="1"/>
  <c r="N524" i="1"/>
  <c r="N532" i="1"/>
  <c r="N540" i="1"/>
  <c r="N548" i="1"/>
  <c r="N367" i="1"/>
  <c r="N487" i="1"/>
  <c r="N535" i="1"/>
  <c r="N17" i="1"/>
  <c r="N81" i="1"/>
  <c r="N145" i="1"/>
  <c r="N201" i="1"/>
  <c r="N249" i="1"/>
  <c r="N313" i="1"/>
  <c r="N369" i="1"/>
  <c r="N433" i="1"/>
  <c r="N505" i="1"/>
  <c r="N106" i="1"/>
  <c r="N194" i="1"/>
  <c r="N282" i="1"/>
  <c r="N338" i="1"/>
  <c r="N418" i="1"/>
  <c r="N490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13" i="1"/>
  <c r="N221" i="1"/>
  <c r="N229" i="1"/>
  <c r="N237" i="1"/>
  <c r="N245" i="1"/>
  <c r="N253" i="1"/>
  <c r="N261" i="1"/>
  <c r="N269" i="1"/>
  <c r="N277" i="1"/>
  <c r="N285" i="1"/>
  <c r="N293" i="1"/>
  <c r="N301" i="1"/>
  <c r="N309" i="1"/>
  <c r="N317" i="1"/>
  <c r="N325" i="1"/>
  <c r="N333" i="1"/>
  <c r="N341" i="1"/>
  <c r="N349" i="1"/>
  <c r="N357" i="1"/>
  <c r="N365" i="1"/>
  <c r="N373" i="1"/>
  <c r="N381" i="1"/>
  <c r="N389" i="1"/>
  <c r="N397" i="1"/>
  <c r="N405" i="1"/>
  <c r="N413" i="1"/>
  <c r="N421" i="1"/>
  <c r="N429" i="1"/>
  <c r="N437" i="1"/>
  <c r="N445" i="1"/>
  <c r="N453" i="1"/>
  <c r="N461" i="1"/>
  <c r="N469" i="1"/>
  <c r="N477" i="1"/>
  <c r="N485" i="1"/>
  <c r="N493" i="1"/>
  <c r="N501" i="1"/>
  <c r="N509" i="1"/>
  <c r="N517" i="1"/>
  <c r="N525" i="1"/>
  <c r="N533" i="1"/>
  <c r="N541" i="1"/>
  <c r="N327" i="1"/>
  <c r="N407" i="1"/>
  <c r="N431" i="1"/>
  <c r="N455" i="1"/>
  <c r="N495" i="1"/>
  <c r="N527" i="1"/>
  <c r="N528" i="1"/>
  <c r="N33" i="1"/>
  <c r="N65" i="1"/>
  <c r="N121" i="1"/>
  <c r="N161" i="1"/>
  <c r="N209" i="1"/>
  <c r="N257" i="1"/>
  <c r="N281" i="1"/>
  <c r="N337" i="1"/>
  <c r="N385" i="1"/>
  <c r="N441" i="1"/>
  <c r="N481" i="1"/>
  <c r="N545" i="1"/>
  <c r="N138" i="1"/>
  <c r="N218" i="1"/>
  <c r="N266" i="1"/>
  <c r="N322" i="1"/>
  <c r="N386" i="1"/>
  <c r="N434" i="1"/>
  <c r="N506" i="1"/>
  <c r="N546" i="1"/>
  <c r="N6" i="1"/>
  <c r="N14" i="1"/>
  <c r="N22" i="1"/>
  <c r="N30" i="1"/>
  <c r="N38" i="1"/>
  <c r="N46" i="1"/>
  <c r="N54" i="1"/>
  <c r="N62" i="1"/>
  <c r="N70" i="1"/>
  <c r="N78" i="1"/>
  <c r="N86" i="1"/>
  <c r="N94" i="1"/>
  <c r="N102" i="1"/>
  <c r="N110" i="1"/>
  <c r="N118" i="1"/>
  <c r="N126" i="1"/>
  <c r="N134" i="1"/>
  <c r="N142" i="1"/>
  <c r="N150" i="1"/>
  <c r="N158" i="1"/>
  <c r="N166" i="1"/>
  <c r="N174" i="1"/>
  <c r="N182" i="1"/>
  <c r="N190" i="1"/>
  <c r="N198" i="1"/>
  <c r="N206" i="1"/>
  <c r="N214" i="1"/>
  <c r="N222" i="1"/>
  <c r="N230" i="1"/>
  <c r="N238" i="1"/>
  <c r="N246" i="1"/>
  <c r="N254" i="1"/>
  <c r="N262" i="1"/>
  <c r="N270" i="1"/>
  <c r="N278" i="1"/>
  <c r="N286" i="1"/>
  <c r="N294" i="1"/>
  <c r="N302" i="1"/>
  <c r="N310" i="1"/>
  <c r="N318" i="1"/>
  <c r="N326" i="1"/>
  <c r="N334" i="1"/>
  <c r="N342" i="1"/>
  <c r="N350" i="1"/>
  <c r="N358" i="1"/>
  <c r="N366" i="1"/>
  <c r="N374" i="1"/>
  <c r="N382" i="1"/>
  <c r="N390" i="1"/>
  <c r="N398" i="1"/>
  <c r="N406" i="1"/>
  <c r="N414" i="1"/>
  <c r="N422" i="1"/>
  <c r="N430" i="1"/>
  <c r="N438" i="1"/>
  <c r="N446" i="1"/>
  <c r="N454" i="1"/>
  <c r="N462" i="1"/>
  <c r="N470" i="1"/>
  <c r="N478" i="1"/>
  <c r="N486" i="1"/>
  <c r="N494" i="1"/>
  <c r="N502" i="1"/>
  <c r="N510" i="1"/>
  <c r="N518" i="1"/>
  <c r="N526" i="1"/>
  <c r="N534" i="1"/>
  <c r="N542" i="1"/>
  <c r="N279" i="1"/>
  <c r="N319" i="1"/>
  <c r="N351" i="1"/>
  <c r="N375" i="1"/>
  <c r="N399" i="1"/>
  <c r="N423" i="1"/>
  <c r="N463" i="1"/>
  <c r="N503" i="1"/>
  <c r="N512" i="1"/>
  <c r="N49" i="1"/>
  <c r="N97" i="1"/>
  <c r="N129" i="1"/>
  <c r="N177" i="1"/>
  <c r="N233" i="1"/>
  <c r="N297" i="1"/>
  <c r="N361" i="1"/>
  <c r="N409" i="1"/>
  <c r="N473" i="1"/>
  <c r="N529" i="1"/>
  <c r="N154" i="1"/>
  <c r="N242" i="1"/>
  <c r="N298" i="1"/>
  <c r="N378" i="1"/>
  <c r="N458" i="1"/>
  <c r="N514" i="1"/>
  <c r="N7" i="1"/>
  <c r="N15" i="1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N239" i="1"/>
  <c r="N247" i="1"/>
  <c r="N255" i="1"/>
  <c r="N263" i="1"/>
  <c r="N271" i="1"/>
  <c r="N287" i="1"/>
  <c r="N295" i="1"/>
  <c r="N303" i="1"/>
  <c r="N311" i="1"/>
  <c r="N335" i="1"/>
  <c r="N359" i="1"/>
  <c r="N383" i="1"/>
  <c r="N391" i="1"/>
  <c r="N415" i="1"/>
  <c r="N447" i="1"/>
  <c r="N479" i="1"/>
  <c r="N511" i="1"/>
  <c r="N543" i="1"/>
  <c r="N536" i="1"/>
  <c r="N25" i="1"/>
  <c r="N73" i="1"/>
  <c r="N113" i="1"/>
  <c r="N169" i="1"/>
  <c r="N217" i="1"/>
  <c r="N265" i="1"/>
  <c r="N289" i="1"/>
  <c r="N329" i="1"/>
  <c r="N393" i="1"/>
  <c r="N449" i="1"/>
  <c r="N489" i="1"/>
  <c r="N537" i="1"/>
  <c r="N130" i="1"/>
  <c r="N210" i="1"/>
  <c r="N258" i="1"/>
  <c r="N330" i="1"/>
  <c r="N394" i="1"/>
  <c r="N442" i="1"/>
  <c r="N498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N240" i="1"/>
  <c r="N248" i="1"/>
  <c r="N256" i="1"/>
  <c r="N264" i="1"/>
  <c r="N272" i="1"/>
  <c r="N280" i="1"/>
  <c r="N288" i="1"/>
  <c r="N296" i="1"/>
  <c r="N304" i="1"/>
  <c r="N312" i="1"/>
  <c r="N320" i="1"/>
  <c r="N328" i="1"/>
  <c r="N336" i="1"/>
  <c r="N344" i="1"/>
  <c r="N352" i="1"/>
  <c r="N360" i="1"/>
  <c r="N368" i="1"/>
  <c r="N376" i="1"/>
  <c r="N384" i="1"/>
  <c r="N392" i="1"/>
  <c r="N400" i="1"/>
  <c r="N408" i="1"/>
  <c r="N416" i="1"/>
  <c r="N424" i="1"/>
  <c r="N432" i="1"/>
  <c r="N440" i="1"/>
  <c r="N448" i="1"/>
  <c r="N456" i="1"/>
  <c r="N464" i="1"/>
  <c r="N472" i="1"/>
  <c r="N480" i="1"/>
  <c r="N488" i="1"/>
  <c r="N496" i="1"/>
  <c r="N504" i="1"/>
  <c r="N544" i="1"/>
  <c r="N9" i="1"/>
  <c r="N89" i="1"/>
  <c r="N153" i="1"/>
  <c r="N193" i="1"/>
  <c r="N241" i="1"/>
  <c r="N321" i="1"/>
  <c r="N377" i="1"/>
  <c r="N425" i="1"/>
  <c r="N497" i="1"/>
  <c r="N114" i="1"/>
  <c r="N202" i="1"/>
  <c r="N274" i="1"/>
  <c r="N346" i="1"/>
  <c r="N410" i="1"/>
  <c r="N482" i="1"/>
  <c r="N57" i="1"/>
  <c r="N273" i="1"/>
  <c r="N345" i="1"/>
  <c r="N401" i="1"/>
  <c r="N457" i="1"/>
  <c r="N513" i="1"/>
  <c r="N162" i="1"/>
  <c r="N250" i="1"/>
  <c r="N314" i="1"/>
  <c r="N362" i="1"/>
  <c r="N426" i="1"/>
  <c r="N466" i="1"/>
  <c r="N530" i="1"/>
  <c r="N10" i="1"/>
  <c r="N18" i="1"/>
  <c r="N26" i="1"/>
  <c r="N34" i="1"/>
  <c r="N42" i="1"/>
  <c r="N50" i="1"/>
  <c r="N58" i="1"/>
  <c r="N66" i="1"/>
  <c r="N74" i="1"/>
  <c r="N82" i="1"/>
  <c r="N90" i="1"/>
  <c r="N98" i="1"/>
  <c r="N122" i="1"/>
  <c r="N170" i="1"/>
  <c r="N178" i="1"/>
  <c r="N186" i="1"/>
  <c r="N226" i="1"/>
  <c r="N290" i="1"/>
  <c r="N354" i="1"/>
  <c r="N402" i="1"/>
  <c r="N474" i="1"/>
  <c r="N538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0FBD53-6AAC-4412-AF2A-25DF82F1946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9EB926-C57C-4340-A430-3D9D50314054}" name="WorksheetConnection_transactions-views!$A$1:$N$5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viewsA1N5481"/>
        </x15:connection>
      </ext>
    </extLst>
  </connection>
</connections>
</file>

<file path=xl/sharedStrings.xml><?xml version="1.0" encoding="utf-8"?>
<sst xmlns="http://schemas.openxmlformats.org/spreadsheetml/2006/main" count="2292" uniqueCount="657">
  <si>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</si>
  <si>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</si>
  <si>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</si>
  <si>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</si>
  <si>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</si>
  <si>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</si>
  <si>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</si>
  <si>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</si>
  <si>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</si>
  <si>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</si>
  <si>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</si>
  <si>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</si>
  <si>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</si>
  <si>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</si>
  <si>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</si>
  <si>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</si>
  <si>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</si>
  <si>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</si>
  <si>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</si>
  <si>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</si>
  <si>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</si>
  <si>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</si>
  <si>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</si>
  <si>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</si>
  <si>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</si>
  <si>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</si>
  <si>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</si>
  <si>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</si>
  <si>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</si>
  <si>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</si>
  <si>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</si>
  <si>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</si>
  <si>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</si>
  <si>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</si>
  <si>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</si>
  <si>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</si>
  <si>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</si>
  <si>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</si>
  <si>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</si>
  <si>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</si>
  <si>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</si>
  <si>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</si>
  <si>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</si>
  <si>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</si>
  <si>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</si>
  <si>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</si>
  <si>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</si>
  <si>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</si>
  <si>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</si>
  <si>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</si>
  <si>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</si>
  <si>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</si>
  <si>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</si>
  <si>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</si>
  <si>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</si>
  <si>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</si>
  <si>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</si>
  <si>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</si>
  <si>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</si>
  <si>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</si>
  <si>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</si>
  <si>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</si>
  <si>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</si>
  <si>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</si>
  <si>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</si>
  <si>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</si>
  <si>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</si>
  <si>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</si>
  <si>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</si>
  <si>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</si>
  <si>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</si>
  <si>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</si>
  <si>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</si>
  <si>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</si>
  <si>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</si>
  <si>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</si>
  <si>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</si>
  <si>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</si>
  <si>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</si>
  <si>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</si>
  <si>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</si>
  <si>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</si>
  <si>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</si>
  <si>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</si>
  <si>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</si>
  <si>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</si>
  <si>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</si>
  <si>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</si>
  <si>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</si>
  <si>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</si>
  <si>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</si>
  <si>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</si>
  <si>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</si>
  <si>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</si>
  <si>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</si>
  <si>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</si>
  <si>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</si>
  <si>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</si>
  <si>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</si>
  <si>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</si>
  <si>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</si>
  <si>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</si>
  <si>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</si>
  <si>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</si>
  <si>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</si>
  <si>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</si>
  <si>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</si>
  <si>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</si>
  <si>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</si>
  <si>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</si>
  <si>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</si>
  <si>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</si>
  <si>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</si>
  <si>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</si>
  <si>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</si>
  <si>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</si>
  <si>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</si>
  <si>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</si>
  <si>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</si>
  <si>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</si>
  <si>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</si>
  <si>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</si>
  <si>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</si>
  <si>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</si>
  <si>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</si>
  <si>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</si>
  <si>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</si>
  <si>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</si>
  <si>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</si>
  <si>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</si>
  <si>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</si>
  <si>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</si>
  <si>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</si>
  <si>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</si>
  <si>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</si>
  <si>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</si>
  <si>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</si>
  <si>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</si>
  <si>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</si>
  <si>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</si>
  <si>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</si>
  <si>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</si>
  <si>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</si>
  <si>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</si>
  <si>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</si>
  <si>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</si>
  <si>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</si>
  <si>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</si>
  <si>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</si>
  <si>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</si>
  <si>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</si>
  <si>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</si>
  <si>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</si>
  <si>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</si>
  <si>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</si>
  <si>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</si>
  <si>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</si>
  <si>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</si>
  <si>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</si>
  <si>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</si>
  <si>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</si>
  <si>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</si>
  <si>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</si>
  <si>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</si>
  <si>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</si>
  <si>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</si>
  <si>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</si>
  <si>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</si>
  <si>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</si>
  <si>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</si>
  <si>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</si>
  <si>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</si>
  <si>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</si>
  <si>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</si>
  <si>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</si>
  <si>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</si>
  <si>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</si>
  <si>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</si>
  <si>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</si>
  <si>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</si>
  <si>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</si>
  <si>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</si>
  <si>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</si>
  <si>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</si>
  <si>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</si>
  <si>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</si>
  <si>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</si>
  <si>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</si>
  <si>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</si>
  <si>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</si>
  <si>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</si>
  <si>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</si>
  <si>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</si>
  <si>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</si>
  <si>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</si>
  <si>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</si>
  <si>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</si>
  <si>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</si>
  <si>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</si>
  <si>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</si>
  <si>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</si>
  <si>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</si>
  <si>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</si>
  <si>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</si>
  <si>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</si>
  <si>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</si>
  <si>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</si>
  <si>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</si>
  <si>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</si>
  <si>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</si>
  <si>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</si>
  <si>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</si>
  <si>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</si>
  <si>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</si>
  <si>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</si>
  <si>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</si>
  <si>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</si>
  <si>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</si>
  <si>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</si>
  <si>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</si>
  <si>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</si>
  <si>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</si>
  <si>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</si>
  <si>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</si>
  <si>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</si>
  <si>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</si>
  <si>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</si>
  <si>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</si>
  <si>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</si>
  <si>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</si>
  <si>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</si>
  <si>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</si>
  <si>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</si>
  <si>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</si>
  <si>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</si>
  <si>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</si>
  <si>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</si>
  <si>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</si>
  <si>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</si>
  <si>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</si>
  <si>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</si>
  <si>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</si>
  <si>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</si>
  <si>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</si>
  <si>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</si>
  <si>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</si>
  <si>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</si>
  <si>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</si>
  <si>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</si>
  <si>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</si>
  <si>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</si>
  <si>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</si>
  <si>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</si>
  <si>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</si>
  <si>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</si>
  <si>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</si>
  <si>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</si>
  <si>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</si>
  <si>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</si>
  <si>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</si>
  <si>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</si>
  <si>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</si>
  <si>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</si>
  <si>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</si>
  <si>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</si>
  <si>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</si>
  <si>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</si>
  <si>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</si>
  <si>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</si>
  <si>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</si>
  <si>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</si>
  <si>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</si>
  <si>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</si>
  <si>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</si>
  <si>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</si>
  <si>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</si>
  <si>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</si>
  <si>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</si>
  <si>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</si>
  <si>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</si>
  <si>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</si>
  <si>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</si>
  <si>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</si>
  <si>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</si>
  <si>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</si>
  <si>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</si>
  <si>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</si>
  <si>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</si>
  <si>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</si>
  <si>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</si>
  <si>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</si>
  <si>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</si>
  <si>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</si>
  <si>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</si>
  <si>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</si>
  <si>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</si>
  <si>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</si>
  <si>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</si>
  <si>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</si>
  <si>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</si>
  <si>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</si>
  <si>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</si>
  <si>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</si>
  <si>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</si>
  <si>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</si>
  <si>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</si>
  <si>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</si>
  <si>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</si>
  <si>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</si>
  <si>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</si>
  <si>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</si>
  <si>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</si>
  <si>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</si>
  <si>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</si>
  <si>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</si>
  <si>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</si>
  <si>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</si>
  <si>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</si>
  <si>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</si>
  <si>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</si>
  <si>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</si>
  <si>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</si>
  <si>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</si>
  <si>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</si>
  <si>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</si>
  <si>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</si>
  <si>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</si>
  <si>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</si>
  <si>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</si>
  <si>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</si>
  <si>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</si>
  <si>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</si>
  <si>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</si>
  <si>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</si>
  <si>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</si>
  <si>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</si>
  <si>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</si>
  <si>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</si>
  <si>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</si>
  <si>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</si>
  <si>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</si>
  <si>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</si>
  <si>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</si>
  <si>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</si>
  <si>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</si>
  <si>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</si>
  <si>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</si>
  <si>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</si>
  <si>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</si>
  <si>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</si>
  <si>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</si>
  <si>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</si>
  <si>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</si>
  <si>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</si>
  <si>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</si>
  <si>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</si>
  <si>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</si>
  <si>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</si>
  <si>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</si>
  <si>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</si>
  <si>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</si>
  <si>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</si>
  <si>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</si>
  <si>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</si>
  <si>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</si>
  <si>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</si>
  <si>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</si>
  <si>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</si>
  <si>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</si>
  <si>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</si>
  <si>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</si>
  <si>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</si>
  <si>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</si>
  <si>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</si>
  <si>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</si>
  <si>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</si>
  <si>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</si>
  <si>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</si>
  <si>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</si>
  <si>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</si>
  <si>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</si>
  <si>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</si>
  <si>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</si>
  <si>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</si>
  <si>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</si>
  <si>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</si>
  <si>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</si>
  <si>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</si>
  <si>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</si>
  <si>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</si>
  <si>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</si>
  <si>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</si>
  <si>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</si>
  <si>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</si>
  <si>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</si>
  <si>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</si>
  <si>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</si>
  <si>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</si>
  <si>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</si>
  <si>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</si>
  <si>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</si>
  <si>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</si>
  <si>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</si>
  <si>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</si>
  <si>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</si>
  <si>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</si>
  <si>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</si>
  <si>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</si>
  <si>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</si>
  <si>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</si>
  <si>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</si>
  <si>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</si>
  <si>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</si>
  <si>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</si>
  <si>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</si>
  <si>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</si>
  <si>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</si>
  <si>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</si>
  <si>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</si>
  <si>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</si>
  <si>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</si>
  <si>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</si>
  <si>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</si>
  <si>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</si>
  <si>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</si>
  <si>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</si>
  <si>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</si>
  <si>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</si>
  <si>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</si>
  <si>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</si>
  <si>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</si>
  <si>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</si>
  <si>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</si>
  <si>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</si>
  <si>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</si>
  <si>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</si>
  <si>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</si>
  <si>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</si>
  <si>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</si>
  <si>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</si>
  <si>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</si>
  <si>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</si>
  <si>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</si>
  <si>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</si>
  <si>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</si>
  <si>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</si>
  <si>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</si>
  <si>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</si>
  <si>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</si>
  <si>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</si>
  <si>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</si>
  <si>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</si>
  <si>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</si>
  <si>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</si>
  <si>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</si>
  <si>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</si>
  <si>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</si>
  <si>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</si>
  <si>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</si>
  <si>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</si>
  <si>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</si>
  <si>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</si>
  <si>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</si>
  <si>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</si>
  <si>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</si>
  <si>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</si>
  <si>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</si>
  <si>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</si>
  <si>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</si>
  <si>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</si>
  <si>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</si>
  <si>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</si>
  <si>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</si>
  <si>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</si>
  <si>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</si>
  <si>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</si>
  <si>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</si>
  <si>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</si>
  <si>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</si>
  <si>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</si>
  <si>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</si>
  <si>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</si>
  <si>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</si>
  <si>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</si>
  <si>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</si>
  <si>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</si>
  <si>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</si>
  <si>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</si>
  <si>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</si>
  <si>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</si>
  <si>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</si>
  <si>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</si>
  <si>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</si>
  <si>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</si>
  <si>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</si>
  <si>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</si>
  <si>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</si>
  <si>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</si>
  <si>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</si>
  <si>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</si>
  <si>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</si>
  <si>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</si>
  <si>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</si>
  <si>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</si>
  <si>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</si>
  <si>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</si>
  <si>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</si>
  <si>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</si>
  <si>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</si>
  <si>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</si>
  <si>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</si>
  <si>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</si>
  <si>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</si>
  <si>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</si>
  <si>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</si>
  <si>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</si>
  <si>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</si>
  <si>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</si>
  <si>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</si>
  <si>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</si>
  <si>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</si>
  <si>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</si>
  <si>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</si>
  <si>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</si>
  <si>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</si>
  <si>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</si>
  <si>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</si>
  <si>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</si>
  <si>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</si>
  <si>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</si>
  <si>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</si>
  <si>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</si>
  <si>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</si>
  <si>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</si>
  <si>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</si>
  <si>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</si>
  <si>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</si>
  <si>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</si>
  <si>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</si>
  <si>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</si>
  <si>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</si>
  <si>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</si>
  <si>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</si>
  <si>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</si>
  <si>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</si>
  <si>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</si>
  <si>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</si>
  <si>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</si>
  <si>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</si>
  <si>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</si>
  <si>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</si>
  <si>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</si>
  <si>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</si>
  <si>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</si>
  <si>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</si>
  <si>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</si>
  <si>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</si>
  <si>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</si>
  <si>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</si>
  <si>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</si>
  <si>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</si>
  <si>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</si>
  <si>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</si>
  <si>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</si>
  <si>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</si>
  <si>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</si>
  <si>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</si>
  <si>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</si>
  <si>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</si>
  <si>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</si>
  <si>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</si>
  <si>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</si>
  <si>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</si>
  <si>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</si>
  <si>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</si>
  <si>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</si>
  <si>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</si>
  <si>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</si>
  <si>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</si>
  <si>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</si>
  <si>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</si>
  <si>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</si>
  <si>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</si>
  <si>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</si>
  <si>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</si>
  <si>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</si>
  <si>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</si>
  <si>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</si>
  <si>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</si>
  <si>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</si>
  <si>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</si>
  <si>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</si>
  <si>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</si>
  <si>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</si>
  <si>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</si>
  <si>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</si>
  <si>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</si>
  <si>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</si>
  <si>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</si>
  <si>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</si>
  <si>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</si>
  <si>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</si>
  <si>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</si>
  <si>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</si>
  <si>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</si>
  <si>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</si>
  <si>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</si>
  <si>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</si>
  <si>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</si>
  <si>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</si>
  <si>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</si>
  <si>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</si>
  <si>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</si>
  <si>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</si>
  <si>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</si>
  <si>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</si>
  <si>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 xml:space="preserve">category </t>
  </si>
  <si>
    <t>payment method</t>
  </si>
  <si>
    <t>fee percentage</t>
  </si>
  <si>
    <t>High-Value Merchant Day</t>
  </si>
  <si>
    <t>Count of transaction_id</t>
  </si>
  <si>
    <t>Row Labels</t>
  </si>
  <si>
    <t>Grand Total</t>
  </si>
  <si>
    <t>Sum of amount_inr</t>
  </si>
  <si>
    <t>05-Jan</t>
  </si>
  <si>
    <t>06-Jan</t>
  </si>
  <si>
    <t>09-Jan</t>
  </si>
  <si>
    <t>11-Jan</t>
  </si>
  <si>
    <t>12-Jan</t>
  </si>
  <si>
    <t>17-Jan</t>
  </si>
  <si>
    <t>23-Jan</t>
  </si>
  <si>
    <t>07-Jan</t>
  </si>
  <si>
    <t>08-Jan</t>
  </si>
  <si>
    <t>13-Jan</t>
  </si>
  <si>
    <t>15-Jan</t>
  </si>
  <si>
    <t>19-Jan</t>
  </si>
  <si>
    <t>22-Jan</t>
  </si>
  <si>
    <t>26-Jan</t>
  </si>
  <si>
    <t>30-Jan</t>
  </si>
  <si>
    <t>03-Jan</t>
  </si>
  <si>
    <t>16-Jan</t>
  </si>
  <si>
    <t>20-Jan</t>
  </si>
  <si>
    <t>29-Jan</t>
  </si>
  <si>
    <t>02-Jan</t>
  </si>
  <si>
    <t>24-Jan</t>
  </si>
  <si>
    <t>25-Jan</t>
  </si>
  <si>
    <t>01-Jan</t>
  </si>
  <si>
    <t>10-Jan</t>
  </si>
  <si>
    <t>18-Jan</t>
  </si>
  <si>
    <t>21-Jan</t>
  </si>
  <si>
    <t>27-Jan</t>
  </si>
  <si>
    <t>04-Jan</t>
  </si>
  <si>
    <t>14-Jan</t>
  </si>
  <si>
    <t>28-Jan</t>
  </si>
  <si>
    <t>Sum of amount</t>
  </si>
  <si>
    <t>date_transaction</t>
  </si>
  <si>
    <t>Distinct Count of date_transaction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</si>
</sst>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" refreshedDate="46259.879853009261" createdVersion="8" refreshedVersion="8" minRefreshableVersion="3" recordCount="547" xr:uid="{59E70288-8225-423A-8224-1B85E95A3869}">
  <cacheSource type="worksheet">
    <worksheetSource ref="A1:M548" sheet="transactions-views"/>
  </cacheSource>
  <cacheFields count="15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 count="542">
        <d v="2026-01-29T11:13:00"/>
        <d v="2026-01-04T11:49:00"/>
        <d v="2026-01-24T04:59:00"/>
        <d v="2026-01-29T13:01:00"/>
        <d v="2026-01-30T13:51:00"/>
        <d v="2026-01-06T22:06:00"/>
        <d v="2026-01-08T06:52:00"/>
        <d v="2026-01-27T07:14:00"/>
        <d v="2026-01-11T08:55:00"/>
        <d v="2026-01-21T16:25:00"/>
        <d v="2026-01-01T03:56:00"/>
        <d v="2026-01-09T01:06:00"/>
        <d v="2026-01-24T10:27:00"/>
        <d v="2026-01-13T18:12:00"/>
        <d v="2026-01-14T00:33:00"/>
        <d v="2026-01-14T02:42:00"/>
        <d v="2026-01-22T03:46:00"/>
        <d v="2026-01-22T13:20:00"/>
        <d v="2026-01-05T06:26:00"/>
        <d v="2026-01-24T05:39:00"/>
        <d v="2026-01-18T00:19:00"/>
        <d v="2026-01-26T18:38:00"/>
        <d v="2026-01-15T14:43:00"/>
        <d v="2026-01-26T23:10:00"/>
        <d v="2026-01-17T21:40:00"/>
        <d v="2026-01-27T07:43:00"/>
        <d v="2026-01-05T00:02:00"/>
        <d v="2026-01-28T02:29:00"/>
        <d v="2026-01-23T22:24:00"/>
        <d v="2026-01-05T20:44:00"/>
        <d v="2026-01-14T07:11:00"/>
        <d v="2026-01-18T07:58:00"/>
        <d v="2026-01-26T14:42:00"/>
        <d v="2026-01-11T14:39:00"/>
        <d v="2026-01-15T05:47:00"/>
        <d v="2026-01-25T07:53:00"/>
        <d v="2026-01-25T16:31:00"/>
        <d v="2026-01-15T02:45:00"/>
        <d v="2026-01-11T10:57:00"/>
        <d v="2026-01-05T07:24:00"/>
        <d v="2026-01-14T13:21:00"/>
        <d v="2026-01-02T06:53:00"/>
        <d v="2026-01-19T22:01:00"/>
        <d v="2026-01-01T11:19:00"/>
        <d v="2026-01-24T23:34:00"/>
        <d v="2026-01-08T08:27:00"/>
        <d v="2026-01-11T21:43:00"/>
        <d v="2026-01-30T04:39:00"/>
        <d v="2026-01-19T18:42:00"/>
        <d v="2026-01-14T04:55:00"/>
        <d v="2026-01-09T12:20:00"/>
        <d v="2026-01-11T12:17:00"/>
        <d v="2026-01-16T00:47:00"/>
        <d v="2026-01-08T20:04:00"/>
        <d v="2026-01-01T07:12:00"/>
        <d v="2026-01-08T04:30:00"/>
        <d v="2026-01-07T14:44:00"/>
        <d v="2026-01-20T19:47:00"/>
        <d v="2026-01-04T18:01:00"/>
        <d v="2026-01-30T12:25:00"/>
        <d v="2026-01-23T20:15:00"/>
        <d v="2026-01-20T03:50:00"/>
        <d v="2026-01-18T13:42:00"/>
        <d v="2026-01-21T10:00:00"/>
        <d v="2026-01-14T11:40:00"/>
        <d v="2026-01-06T23:33:00"/>
        <d v="2026-01-26T17:49:00"/>
        <d v="2026-01-27T23:37:00"/>
        <d v="2026-01-27T02:17:00"/>
        <d v="2026-01-15T18:39:00"/>
        <d v="2026-01-01T15:54:00"/>
        <d v="2026-01-07T11:51:00"/>
        <d v="2026-01-29T19:44:00"/>
        <d v="2026-01-17T06:05:00"/>
        <d v="2026-01-18T07:44:00"/>
        <d v="2026-01-26T00:05:00"/>
        <d v="2026-01-23T07:19:00"/>
        <d v="2026-01-16T17:33:00"/>
        <d v="2026-01-18T10:22:00"/>
        <d v="2026-01-09T07:07:00"/>
        <d v="2026-01-24T17:48:00"/>
        <d v="2026-01-24T15:17:00"/>
        <d v="2026-01-10T03:53:00"/>
        <d v="2026-01-12T05:19:00"/>
        <d v="2026-01-09T01:03:00"/>
        <d v="2026-01-05T20:55:00"/>
        <d v="2026-01-19T09:30:00"/>
        <d v="2026-01-06T01:16:00"/>
        <d v="2026-01-13T15:04:00"/>
        <d v="2026-01-05T18:19:00"/>
        <d v="2026-01-18T13:38:00"/>
        <d v="2026-01-25T16:24:00"/>
        <d v="2026-01-28T18:27:00"/>
        <d v="2026-01-02T19:47:00"/>
        <d v="2026-01-07T08:42:00"/>
        <d v="2026-01-06T17:04:00"/>
        <d v="2026-01-15T22:38:00"/>
        <d v="2026-01-08T09:45:00"/>
        <d v="2026-01-22T07:59:00"/>
        <d v="2026-01-26T06:27:00"/>
        <d v="2026-01-21T04:58:00"/>
        <d v="2026-01-02T05:50:00"/>
        <d v="2026-01-27T18:58:00"/>
        <d v="2026-01-15T22:19:00"/>
        <d v="2026-01-18T15:28:00"/>
        <d v="2026-01-29T13:47:00"/>
        <d v="2026-01-01T02:14:00"/>
        <d v="2026-01-01T21:52:00"/>
        <d v="2026-01-25T05:30:00"/>
        <d v="2026-01-06T18:27:00"/>
        <d v="2026-01-16T11:26:00"/>
        <d v="2026-01-04T05:21:00"/>
        <d v="2026-01-22T12:52:00"/>
        <d v="2026-01-03T10:16:00"/>
        <d v="2026-01-13T16:52:00"/>
        <d v="2026-01-14T01:12:00"/>
        <d v="2026-01-25T15:40:00"/>
        <d v="2026-01-09T17:08:00"/>
        <d v="2026-01-16T03:01:00"/>
        <d v="2026-01-23T05:19:00"/>
        <d v="2026-01-14T02:14:00"/>
        <d v="2026-01-21T04:31:00"/>
        <d v="2026-01-09T13:53:00"/>
        <d v="2026-01-15T17:09:00"/>
        <d v="2026-01-17T23:56:00"/>
        <d v="2026-01-25T13:21:00"/>
        <d v="2026-01-10T23:19:00"/>
        <d v="2026-01-16T04:28:00"/>
        <d v="2026-01-11T17:48:00"/>
        <d v="2026-01-30T10:55:00"/>
        <d v="2026-01-13T07:54:00"/>
        <d v="2026-01-24T15:45:00"/>
        <d v="2026-01-26T20:09:00"/>
        <d v="2026-01-17T18:21:00"/>
        <d v="2026-01-17T14:00:00"/>
        <d v="2026-01-05T02:30:00"/>
        <d v="2026-01-23T12:41:00"/>
        <d v="2026-01-28T17:24:00"/>
        <d v="2026-01-02T19:04:00"/>
        <d v="2026-01-24T02:27:00"/>
        <d v="2026-01-06T22:19:00"/>
        <d v="2026-01-26T01:18:00"/>
        <d v="2026-01-05T07:33:00"/>
        <d v="2026-01-26T05:10:00"/>
        <d v="2026-01-28T12:39:00"/>
        <d v="2026-01-30T18:09:00"/>
        <d v="2026-01-09T14:16:00"/>
        <d v="2026-01-29T09:43:00"/>
        <d v="2026-01-15T11:37:00"/>
        <d v="2026-01-09T14:54:00"/>
        <d v="2026-01-28T15:06:00"/>
        <d v="2026-01-12T18:18:00"/>
        <d v="2026-01-13T08:00:00"/>
        <d v="2026-01-24T15:53:00"/>
        <d v="2026-01-26T11:14:00"/>
        <d v="2026-01-09T21:48:00"/>
        <d v="2026-01-04T20:41:00"/>
        <d v="2026-01-15T01:37:00"/>
        <d v="2026-01-30T09:20:00"/>
        <d v="2026-01-05T17:56:00"/>
        <d v="2026-01-30T08:53:00"/>
        <d v="2026-01-26T09:47:00"/>
        <d v="2026-01-03T04:48:00"/>
        <d v="2026-01-12T02:50:00"/>
        <d v="2026-01-18T03:29:00"/>
        <d v="2026-01-13T20:23:00"/>
        <d v="2026-01-01T19:56:00"/>
        <d v="2026-01-10T20:26:00"/>
        <d v="2026-01-02T09:31:00"/>
        <d v="2026-01-29T17:08:00"/>
        <d v="2026-01-22T23:44:00"/>
        <d v="2026-01-24T23:09:00"/>
        <d v="2026-01-20T13:17:00"/>
        <d v="2026-01-15T14:15:00"/>
        <d v="2026-01-12T17:57:00"/>
        <d v="2026-01-13T08:12:00"/>
        <d v="2026-01-22T06:41:00"/>
        <d v="2026-01-02T10:15:00"/>
        <d v="2026-01-03T17:13:00"/>
        <d v="2026-01-11T04:50:00"/>
        <d v="2026-01-28T04:08:00"/>
        <d v="2026-01-04T21:55:00"/>
        <d v="2026-01-12T07:37:00"/>
        <d v="2026-01-09T01:08:00"/>
        <d v="2026-01-24T02:30:00"/>
        <d v="2026-01-19T03:28:00"/>
        <d v="2026-01-02T23:50:00"/>
        <d v="2026-01-15T20:01:00"/>
        <d v="2026-01-14T21:06:00"/>
        <d v="2026-01-29T02:20:00"/>
        <d v="2026-01-05T08:39:00"/>
        <d v="2026-01-23T10:24:00"/>
        <d v="2026-01-15T16:38:00"/>
        <d v="2026-01-15T07:26:00"/>
        <d v="2026-01-14T23:06:00"/>
        <d v="2026-01-22T08:23:00"/>
        <d v="2026-01-03T02:05:00"/>
        <d v="2026-01-24T11:51:00"/>
        <d v="2026-01-19T17:35:00"/>
        <d v="2026-01-12T21:48:00"/>
        <d v="2026-01-20T09:22:00"/>
        <d v="2026-01-07T04:42:00"/>
        <d v="2026-01-12T17:23:00"/>
        <d v="2026-01-08T13:54:00"/>
        <d v="2026-01-22T20:35:00"/>
        <d v="2026-01-27T22:17:00"/>
        <d v="2026-01-23T09:58:00"/>
        <d v="2026-01-06T04:36:00"/>
        <d v="2026-01-05T23:40:00"/>
        <d v="2026-01-17T06:24:00"/>
        <d v="2026-01-06T11:19:00"/>
        <d v="2026-01-03T01:09:00"/>
        <d v="2026-01-22T02:17:00"/>
        <d v="2026-01-20T14:26:00"/>
        <d v="2026-01-17T03:22:00"/>
        <d v="2026-01-22T21:37:00"/>
        <d v="2026-01-10T01:14:00"/>
        <d v="2026-01-01T06:19:00"/>
        <d v="2026-01-09T09:20:00"/>
        <d v="2026-01-24T13:11:00"/>
        <d v="2026-01-23T07:32:00"/>
        <d v="2026-01-13T23:02:00"/>
        <d v="2026-01-30T02:55:00"/>
        <d v="2026-01-19T12:45:00"/>
        <d v="2026-01-04T12:01:00"/>
        <d v="2026-01-15T22:58:00"/>
        <d v="2026-01-28T03:15:00"/>
        <d v="2026-01-17T02:25:00"/>
        <d v="2026-01-11T05:04:00"/>
        <d v="2026-01-17T06:57:00"/>
        <d v="2026-01-27T20:52:00"/>
        <d v="2026-01-05T08:12:00"/>
        <d v="2026-01-25T20:04:00"/>
        <d v="2026-01-25T18:48:00"/>
        <d v="2026-01-30T18:41:00"/>
        <d v="2026-01-28T20:20:00"/>
        <d v="2026-01-16T14:40:00"/>
        <d v="2026-01-02T11:32:00"/>
        <d v="2026-01-15T01:03:00"/>
        <d v="2026-01-21T02:39:00"/>
        <d v="2026-01-15T18:35:00"/>
        <d v="2026-01-21T06:20:00"/>
        <d v="2026-01-05T01:28:00"/>
        <d v="2026-01-03T16:41:00"/>
        <d v="2026-01-23T14:28:00"/>
        <d v="2026-01-06T11:23:00"/>
        <d v="2026-01-25T10:43:00"/>
        <d v="2026-01-21T10:04:00"/>
        <d v="2026-01-22T12:18:00"/>
        <d v="2026-01-11T02:37:00"/>
        <d v="2026-01-10T20:44:00"/>
        <d v="2026-01-20T22:05:00"/>
        <d v="2026-01-21T10:52:00"/>
        <d v="2026-01-21T21:27:00"/>
        <d v="2026-01-12T09:11:00"/>
        <d v="2026-01-16T06:14:00"/>
        <d v="2026-01-10T03:32:00"/>
        <d v="2026-01-22T10:56:00"/>
        <d v="2026-01-13T04:10:00"/>
        <d v="2026-01-24T14:02:00"/>
        <d v="2026-01-24T07:28:00"/>
        <d v="2026-01-24T14:14:00"/>
        <d v="2026-01-26T15:57:00"/>
        <d v="2026-01-19T14:29:00"/>
        <d v="2026-01-17T13:10:00"/>
        <d v="2026-01-28T08:03:00"/>
        <d v="2026-01-18T03:45:00"/>
        <d v="2026-01-03T05:17:00"/>
        <d v="2026-01-27T13:05:00"/>
        <d v="2026-01-30T00:26:00"/>
        <d v="2026-01-12T07:24:00"/>
        <d v="2026-01-01T10:59:00"/>
        <d v="2026-01-05T01:18:00"/>
        <d v="2026-01-23T15:28:00"/>
        <d v="2026-01-01T08:13:00"/>
        <d v="2026-01-20T16:27:00"/>
        <d v="2026-01-10T03:03:00"/>
        <d v="2026-01-26T19:29:00"/>
        <d v="2026-01-20T17:01:00"/>
        <d v="2026-01-08T22:09:00"/>
        <d v="2026-01-20T11:15:00"/>
        <d v="2026-01-22T21:05:00"/>
        <d v="2026-01-17T17:32:00"/>
        <d v="2026-01-13T15:02:00"/>
        <d v="2026-01-09T23:01:00"/>
        <d v="2026-01-08T23:42:00"/>
        <d v="2026-01-19T23:48:00"/>
        <d v="2026-01-12T17:21:00"/>
        <d v="2026-01-22T14:44:00"/>
        <d v="2026-01-03T22:49:00"/>
        <d v="2026-01-07T01:50:00"/>
        <d v="2026-01-30T09:32:00"/>
        <d v="2026-01-09T01:48:00"/>
        <d v="2026-01-12T01:55:00"/>
        <d v="2026-01-04T11:27:00"/>
        <d v="2026-01-11T05:31:00"/>
        <d v="2026-01-09T02:46:00"/>
        <d v="2026-01-20T05:34:00"/>
        <d v="2026-01-03T10:42:00"/>
        <d v="2026-01-20T22:27:00"/>
        <d v="2026-01-15T01:46:00"/>
        <d v="2026-01-09T20:50:00"/>
        <d v="2026-01-21T12:23:00"/>
        <d v="2026-01-05T19:43:00"/>
        <d v="2026-01-03T07:49:00"/>
        <d v="2026-01-13T18:02:00"/>
        <d v="2026-01-15T11:23:00"/>
        <d v="2026-01-05T16:23:00"/>
        <d v="2026-01-17T12:58:00"/>
        <d v="2026-01-25T08:45:00"/>
        <d v="2026-01-10T22:58:00"/>
        <d v="2026-01-05T02:28:00"/>
        <d v="2026-01-26T21:54:00"/>
        <d v="2026-01-03T17:34:00"/>
        <d v="2026-01-23T22:59:00"/>
        <d v="2026-01-17T07:07:00"/>
        <d v="2026-01-26T15:01:00"/>
        <d v="2026-01-12T14:51:00"/>
        <d v="2026-01-29T02:04:00"/>
        <d v="2026-01-24T15:33:00"/>
        <d v="2026-01-03T04:20:00"/>
        <d v="2026-01-15T21:33:00"/>
        <d v="2026-01-18T20:37:00"/>
        <d v="2026-01-17T01:53:00"/>
        <d v="2026-01-10T05:10:00"/>
        <d v="2026-01-17T09:54:00"/>
        <d v="2026-01-21T17:17:00"/>
        <d v="2026-01-18T02:32:00"/>
        <d v="2026-01-19T04:10:00"/>
        <d v="2026-01-29T19:21:00"/>
        <d v="2026-01-03T01:41:00"/>
        <d v="2026-01-07T18:26:00"/>
        <d v="2026-01-29T20:34:00"/>
        <d v="2026-01-08T21:25:00"/>
        <d v="2026-01-23T01:10:00"/>
        <d v="2026-01-15T06:21:00"/>
        <d v="2026-01-28T22:20:00"/>
        <d v="2026-01-25T11:32:00"/>
        <d v="2026-01-08T14:07:00"/>
        <d v="2026-01-05T03:03:00"/>
        <d v="2026-01-14T07:55:00"/>
        <d v="2026-01-24T10:12:00"/>
        <d v="2026-01-15T15:56:00"/>
        <d v="2026-01-03T12:32:00"/>
        <d v="2026-01-19T11:03:00"/>
        <d v="2026-01-20T20:43:00"/>
        <d v="2026-01-01T03:27:00"/>
        <d v="2026-01-12T12:23:00"/>
        <d v="2026-01-19T17:12:00"/>
        <d v="2026-01-27T19:43:00"/>
        <d v="2026-01-04T12:23:00"/>
        <d v="2026-01-25T04:12:00"/>
        <d v="2026-01-17T01:02:00"/>
        <d v="2026-01-11T15:33:00"/>
        <d v="2026-01-29T16:08:00"/>
        <d v="2026-01-06T12:39:00"/>
        <d v="2026-01-17T16:34:00"/>
        <d v="2026-01-16T00:23:00"/>
        <d v="2026-01-19T09:50:00"/>
        <d v="2026-01-16T08:41:00"/>
        <d v="2026-01-24T01:37:00"/>
        <d v="2026-01-21T23:39:00"/>
        <d v="2026-01-08T01:36:00"/>
        <d v="2026-01-15T10:26:00"/>
        <d v="2026-01-07T13:32:00"/>
        <d v="2026-01-24T01:45:00"/>
        <d v="2026-01-18T10:42:00"/>
        <d v="2026-01-11T05:29:00"/>
        <d v="2026-01-12T21:49:00"/>
        <d v="2026-01-16T06:15:00"/>
        <d v="2026-01-08T09:49:00"/>
        <d v="2026-01-23T15:20:00"/>
        <d v="2026-01-30T23:17:00"/>
        <d v="2026-01-22T17:24:00"/>
        <d v="2026-01-26T04:18:00"/>
        <d v="2026-01-03T11:59:00"/>
        <d v="2026-01-16T06:12:00"/>
        <d v="2026-01-23T08:08:00"/>
        <d v="2026-01-19T07:15:00"/>
        <d v="2026-01-21T07:03:00"/>
        <d v="2026-01-23T15:06:00"/>
        <d v="2026-01-18T05:26:00"/>
        <d v="2026-01-21T06:48:00"/>
        <d v="2026-01-21T01:58:00"/>
        <d v="2026-01-18T23:46:00"/>
        <d v="2026-01-29T05:59:00"/>
        <d v="2026-01-16T05:59:00"/>
        <d v="2026-01-10T18:38:00"/>
        <d v="2026-01-15T20:34:00"/>
        <d v="2026-01-28T16:29:00"/>
        <d v="2026-01-11T05:46:00"/>
        <d v="2026-01-06T00:47:00"/>
        <d v="2026-01-22T06:11:00"/>
        <d v="2026-01-17T10:05:00"/>
        <d v="2026-01-05T15:20:00"/>
        <d v="2026-01-13T07:28:00"/>
        <d v="2026-01-19T23:36:00"/>
        <d v="2026-01-12T22:15:00"/>
        <d v="2026-01-10T05:25:00"/>
        <d v="2026-01-04T20:58:00"/>
        <d v="2026-01-08T07:08:00"/>
        <d v="2026-01-24T19:23:00"/>
        <d v="2026-01-25T17:51:00"/>
        <d v="2026-01-08T21:48:00"/>
        <d v="2026-01-15T16:45:00"/>
        <d v="2026-01-04T01:53:00"/>
        <d v="2026-01-19T17:09:00"/>
        <d v="2026-01-15T03:43:00"/>
        <d v="2026-01-03T16:28:00"/>
        <d v="2026-01-17T13:29:00"/>
        <d v="2026-01-15T21:51:00"/>
        <d v="2026-01-09T00:47:00"/>
        <d v="2026-01-02T13:22:00"/>
        <d v="2026-01-30T02:59:00"/>
        <d v="2026-01-14T05:49:00"/>
        <d v="2026-01-29T12:28:00"/>
        <d v="2026-01-22T21:55:00"/>
        <d v="2026-01-28T11:07:00"/>
        <d v="2026-01-17T04:46:00"/>
        <d v="2026-01-01T09:29:00"/>
        <d v="2026-01-18T12:52:00"/>
        <d v="2026-01-12T04:17:00"/>
        <d v="2026-01-26T21:26:00"/>
        <d v="2026-01-07T02:06:00"/>
        <d v="2026-01-20T21:45:00"/>
        <d v="2026-01-02T12:28:00"/>
        <d v="2026-01-25T01:08:00"/>
        <d v="2026-01-27T23:36:00"/>
        <d v="2026-01-25T21:52:00"/>
        <d v="2026-01-29T04:42:00"/>
        <d v="2026-01-10T08:03:00"/>
        <d v="2026-01-30T05:40:00"/>
        <d v="2026-01-16T01:22:00"/>
        <d v="2026-01-17T10:44:00"/>
        <d v="2026-01-10T12:11:00"/>
        <d v="2026-01-28T07:19:00"/>
        <d v="2026-01-18T13:26:00"/>
        <d v="2026-01-13T07:16:00"/>
        <d v="2026-01-03T14:54:00"/>
        <d v="2026-01-24T06:03:00"/>
        <d v="2026-01-20T19:02:00"/>
        <d v="2026-01-19T23:42:00"/>
        <d v="2026-01-07T10:19:00"/>
        <d v="2026-01-24T03:47:00"/>
        <d v="2026-01-20T22:13:00"/>
        <d v="2026-01-11T09:24:00"/>
        <d v="2026-01-12T09:16:00"/>
        <d v="2026-01-15T03:51:00"/>
        <d v="2026-01-12T10:26:00"/>
        <d v="2026-01-24T04:01:00"/>
        <d v="2026-01-19T23:26:00"/>
        <d v="2026-01-11T07:24:00"/>
        <d v="2026-01-18T20:43:00"/>
        <d v="2026-01-27T15:46:00"/>
        <d v="2026-01-06T23:50:00"/>
        <d v="2026-01-24T17:31:00"/>
        <d v="2026-01-02T16:02:00"/>
        <d v="2026-01-01T13:08:00"/>
        <d v="2026-01-23T04:00:00"/>
        <d v="2026-01-12T01:39:00"/>
        <d v="2026-01-22T15:01:00"/>
        <d v="2026-01-14T00:01:00"/>
        <d v="2026-01-10T00:32:00"/>
        <d v="2026-01-04T03:33:00"/>
        <d v="2026-01-20T16:16:00"/>
        <d v="2026-01-03T11:25:00"/>
        <d v="2026-01-13T12:24:00"/>
        <d v="2026-01-21T00:44:00"/>
        <d v="2026-01-28T13:41:00"/>
        <d v="2026-01-29T16:58:00"/>
        <d v="2026-01-29T22:56:00"/>
        <d v="2026-01-02T02:43:00"/>
        <d v="2026-01-22T01:11:00"/>
        <d v="2026-01-19T04:48:00"/>
        <d v="2026-01-06T18:15:00"/>
        <d v="2026-01-29T17:21:00"/>
        <d v="2026-01-24T02:32:00"/>
        <d v="2026-01-14T07:53:00"/>
        <d v="2026-01-25T19:38:00"/>
        <d v="2026-01-21T08:50:00"/>
        <d v="2026-01-12T17:24:00"/>
        <d v="2026-01-19T21:24:00"/>
        <d v="2026-01-26T07:45:00"/>
        <d v="2026-01-05T12:45:00"/>
        <d v="2026-01-13T10:23:00"/>
        <d v="2026-01-10T14:23:00"/>
        <d v="2026-01-03T05:27:00"/>
        <d v="2026-01-17T13:06:00"/>
        <d v="2026-01-18T02:38:00"/>
        <d v="2026-01-01T09:26:00"/>
        <d v="2026-01-29T17:57:00"/>
        <d v="2026-01-06T21:24:00"/>
        <d v="2026-01-10T08:31:00"/>
        <d v="2026-01-14T08:26:00"/>
        <d v="2026-01-03T11:16:00"/>
        <d v="2026-01-30T06:00:00"/>
        <d v="2026-01-11T12:00:00"/>
        <d v="2026-01-21T14:00:00"/>
        <d v="2026-01-21T19:00:00"/>
        <d v="2026-01-16T12:00:00"/>
        <d v="2026-01-29T07:00:00"/>
        <d v="2026-01-23T11:00:00"/>
        <d v="2026-01-28T05:00:00"/>
        <d v="2026-01-25T22:00:00"/>
        <d v="2026-01-13T13:00:00"/>
        <d v="2026-01-20T07:00:00"/>
        <d v="2026-01-23T02:00:00"/>
        <d v="2026-01-23T17:00:00"/>
        <d v="2026-01-22T22:00:00"/>
        <d v="2026-01-18T21:00:00"/>
        <d v="2026-01-02T18:00:00"/>
        <d v="2026-01-02T18:01:00"/>
        <d v="2026-01-02T18:02:00"/>
        <d v="2026-01-02T18:03:00"/>
        <d v="2026-01-12T12:00:00"/>
        <d v="2026-01-12T12:01:00"/>
        <d v="2026-01-12T12:02:00"/>
        <d v="2026-01-12T12:03:00"/>
        <d v="2026-01-12T09:00:00"/>
        <d v="2026-01-12T09:01:00"/>
        <d v="2026-01-12T09:02:00"/>
        <d v="2026-01-12T09:03:00"/>
        <d v="2026-01-02T22:00:00"/>
        <d v="2026-01-02T22:01:00"/>
        <d v="2026-01-02T22:02:00"/>
        <d v="2026-01-02T22:03:00"/>
        <d v="2026-01-14T14:00:00"/>
        <d v="2026-01-14T14:01:00"/>
        <d v="2026-01-14T14:02:00"/>
        <d v="2026-01-14T14:03:00"/>
        <d v="2026-01-01T22:00:00"/>
        <d v="2026-01-01T22:01:00"/>
        <d v="2026-01-01T22:02:00"/>
        <d v="2026-01-01T22:03:00"/>
        <d v="2026-01-09T21:00:00"/>
        <d v="2026-01-09T21:01:00"/>
        <d v="2026-01-09T21:02:00"/>
        <d v="2026-01-09T21:03:00"/>
        <d v="2026-01-23T09:00:00"/>
        <d v="2026-01-23T09:01:00"/>
        <d v="2026-01-23T09:02:00"/>
        <d v="2026-01-23T09:03:00"/>
      </sharedItems>
      <fieldGroup par="14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/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 count="40"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 " numFmtId="0">
      <sharedItems/>
    </cacheField>
    <cacheField name="region" numFmtId="0">
      <sharedItems/>
    </cacheField>
    <cacheField name="fee percentage" numFmtId="10">
      <sharedItems containsSemiMixedTypes="0" containsString="0" containsNumber="1" minValue="0" maxValue="0.02"/>
    </cacheField>
    <cacheField name="Minutes (transaction_time)" numFmtId="0" databaseField="0">
      <fieldGroup base="3">
        <rangePr groupBy="minutes" startDate="2026-01-01T02:14:00" endDate="2026-01-30T23:17:00"/>
        <groupItems count="62">
          <s v="&lt;01-01-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0-01-2026"/>
        </groupItems>
      </fieldGroup>
    </cacheField>
    <cacheField name="Hours (transaction_time)" numFmtId="0" databaseField="0">
      <fieldGroup base="3">
        <rangePr groupBy="hours" startDate="2026-01-01T02:14:00" endDate="2026-01-30T23:17:00"/>
        <groupItems count="26">
          <s v="&lt;01-01-202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0-01-2026"/>
        </groupItems>
      </fieldGroup>
    </cacheField>
    <cacheField name="Days (transaction_time)" numFmtId="0" databaseField="0">
      <fieldGroup base="3">
        <rangePr groupBy="days" startDate="2026-01-01T02:14:00" endDate="2026-01-30T23:17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vinash" refreshedDate="46260.278100462965" backgroundQuery="1" createdVersion="8" refreshedVersion="8" minRefreshableVersion="3" recordCount="0" supportSubquery="1" supportAdvancedDrill="1" xr:uid="{1B538B28-9F43-4E40-97CD-0A66439523ED}">
  <cacheSource type="external" connectionId="1"/>
  <cacheFields count="6">
    <cacheField name="[Range].[merchant_id].[merchant_id]" caption="merchant_id" numFmtId="0" hierarchy="2" level="1">
      <sharedItems containsSemiMixedTypes="0" containsString="0" containsNumber="1" containsInteger="1" minValue="1" maxValue="17" count="5">
        <n v="1"/>
        <n v="4"/>
        <n v="7"/>
        <n v="13"/>
        <n v="17"/>
      </sharedItems>
      <extLst>
        <ext xmlns:x15="http://schemas.microsoft.com/office/spreadsheetml/2010/11/main" uri="{4F2E5C28-24EA-4eb8-9CBF-B6C8F9C3D259}">
          <x15:cachedUniqueNames>
            <x15:cachedUniqueName index="0" name="[Range].[merchant_id].&amp;[1]"/>
            <x15:cachedUniqueName index="1" name="[Range].[merchant_id].&amp;[4]"/>
            <x15:cachedUniqueName index="2" name="[Range].[merchant_id].&amp;[7]"/>
            <x15:cachedUniqueName index="3" name="[Range].[merchant_id].&amp;[13]"/>
            <x15:cachedUniqueName index="4" name="[Range].[merchant_id].&amp;[17]"/>
          </x15:cachedUniqueNames>
        </ext>
      </extLst>
    </cacheField>
    <cacheField name="[Range].[status].[status]" caption="status" numFmtId="0" hierarchy="7" level="1">
      <sharedItems count="3">
        <s v="captured"/>
        <s v="failed"/>
        <s v="chargeback"/>
      </sharedItems>
    </cacheField>
    <cacheField name="[Measures].[Sum of amount_inr]" caption="Sum of amount_inr" numFmtId="0" hierarchy="16" level="32767"/>
    <cacheField name="[Measures].[Count of transaction_id]" caption="Count of transaction_id" numFmtId="0" hierarchy="17" level="32767"/>
    <cacheField name="[Range].[merchant_name].[merchant_name]" caption="merchant_name" numFmtId="0" hierarchy="9" level="1">
      <sharedItems count="5">
        <s v="Merchant_001"/>
        <s v="Merchant_004"/>
        <s v="Merchant_007"/>
        <s v="Merchant_013"/>
        <s v="Merchant_017"/>
      </sharedItems>
    </cacheField>
    <cacheField name="[Measures].[Distinct Count of date_transaction]" caption="Distinct Count of date_transaction" numFmtId="0" hierarchy="19" level="32767"/>
  </cacheFields>
  <cacheHierarchies count="20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time]" caption="transaction_time" attribute="1" time="1" defaultMemberUniqueName="[Range].[transaction_time].[All]" allUniqueName="[Range].[transaction_time].[All]" dimensionUniqueName="[Range]" displayFolder="" count="0" memberValueDatatype="7" unbalanced="0"/>
    <cacheHierarchy uniqueName="[Range].[date_transaction]" caption="date_transaction" attribute="1" time="1" defaultMemberUniqueName="[Range].[date_transaction].[All]" allUniqueName="[Range].[date_transaction].[All]" dimensionUniqueName="[Range]" displayFolder="" count="0" memberValueDatatype="7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merchant_name]" caption="merchant_name" attribute="1" defaultMemberUniqueName="[Range].[merchant_name].[All]" allUniqueName="[Range].[merchant_nam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fee percentage]" caption="fee percentage" attribute="1" defaultMemberUniqueName="[Range].[fee percentage].[All]" allUniqueName="[Range].[fee percentage].[All]" dimensionUniqueName="[Range]" displayFolder="" count="0" memberValueDatatype="5" unbalanced="0"/>
    <cacheHierarchy uniqueName="[Range].[High-Value Merchant Day]" caption="High-Value Merchant Day" attribute="1" defaultMemberUniqueName="[Range].[High-Value Merchant Day].[All]" allUniqueName="[Range].[High-Value Merchant Da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_inr]" caption="Sum of amount_in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ransaction_id]" caption="Count of transaction_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ate_transaction]" caption="Count of date_transaction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ate_transaction]" caption="Distinct Count of date_transaction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x v="0"/>
    <n v="2999"/>
    <s v="Wallet"/>
    <s v="captured"/>
    <n v="85"/>
    <x v="0"/>
    <s v="bill_payment"/>
    <s v="West"/>
    <n v="1.4999999999999999E-2"/>
  </r>
  <r>
    <s v="TXN100001"/>
    <n v="287"/>
    <x v="1"/>
    <x v="1"/>
    <n v="49"/>
    <s v="UPI"/>
    <s v="captured"/>
    <n v="79"/>
    <x v="1"/>
    <s v="ecommerce"/>
    <s v="North"/>
    <n v="0"/>
  </r>
  <r>
    <s v="TXN100002"/>
    <n v="122"/>
    <x v="2"/>
    <x v="2"/>
    <n v="1499"/>
    <s v="Wallet"/>
    <s v="captured"/>
    <n v="22"/>
    <x v="2"/>
    <s v="ecommerce"/>
    <s v="North"/>
    <n v="1.4999999999999999E-2"/>
  </r>
  <r>
    <s v="TXN100003"/>
    <n v="92"/>
    <x v="3"/>
    <x v="3"/>
    <n v="49"/>
    <s v="Netbanking"/>
    <s v="captured"/>
    <n v="100"/>
    <x v="3"/>
    <s v="travel"/>
    <s v="South"/>
    <n v="0.01"/>
  </r>
  <r>
    <s v="TXN100004"/>
    <n v="343"/>
    <x v="0"/>
    <x v="4"/>
    <n v="99"/>
    <s v="UPI"/>
    <s v="captured"/>
    <n v="34"/>
    <x v="0"/>
    <s v="bill_payment"/>
    <s v="West"/>
    <n v="0"/>
  </r>
  <r>
    <s v="TXN100005"/>
    <n v="196"/>
    <x v="4"/>
    <x v="5"/>
    <n v="99"/>
    <s v="UPI"/>
    <s v="captured"/>
    <n v="60"/>
    <x v="4"/>
    <s v="grocery"/>
    <s v="East"/>
    <n v="0"/>
  </r>
  <r>
    <s v="TXN100006"/>
    <n v="236"/>
    <x v="5"/>
    <x v="6"/>
    <n v="99"/>
    <s v="Wallet"/>
    <s v="captured"/>
    <n v="39"/>
    <x v="5"/>
    <s v="travel"/>
    <s v="North"/>
    <n v="1.4999999999999999E-2"/>
  </r>
  <r>
    <s v="TXN100007"/>
    <n v="13"/>
    <x v="6"/>
    <x v="7"/>
    <n v="99"/>
    <s v="UPI"/>
    <s v="captured"/>
    <n v="51"/>
    <x v="6"/>
    <s v="travel"/>
    <s v="East"/>
    <n v="0"/>
  </r>
  <r>
    <s v="TXN100008"/>
    <n v="36"/>
    <x v="7"/>
    <x v="8"/>
    <n v="799"/>
    <s v="UPI"/>
    <s v="captured"/>
    <n v="44"/>
    <x v="7"/>
    <s v="grocery"/>
    <s v="West"/>
    <n v="0"/>
  </r>
  <r>
    <s v="TXN100009"/>
    <n v="348"/>
    <x v="8"/>
    <x v="9"/>
    <n v="299"/>
    <s v="UPI"/>
    <s v="captured"/>
    <n v="42"/>
    <x v="8"/>
    <s v="recharge"/>
    <s v="East"/>
    <n v="0"/>
  </r>
  <r>
    <s v="TXN100010"/>
    <n v="134"/>
    <x v="9"/>
    <x v="10"/>
    <n v="49"/>
    <s v="UPI"/>
    <s v="captured"/>
    <n v="74"/>
    <x v="9"/>
    <s v="ecommerce"/>
    <s v="East"/>
    <n v="0"/>
  </r>
  <r>
    <s v="TXN100011"/>
    <n v="306"/>
    <x v="10"/>
    <x v="11"/>
    <n v="2999"/>
    <s v="Card"/>
    <s v="failed"/>
    <n v="44"/>
    <x v="10"/>
    <s v="ecommerce"/>
    <s v="South"/>
    <n v="0.02"/>
  </r>
  <r>
    <s v="TXN100012"/>
    <n v="311"/>
    <x v="11"/>
    <x v="12"/>
    <n v="49"/>
    <s v="Wallet"/>
    <s v="captured"/>
    <n v="14"/>
    <x v="11"/>
    <s v="bill_payment"/>
    <s v="East"/>
    <n v="1.4999999999999999E-2"/>
  </r>
  <r>
    <s v="TXN100013"/>
    <n v="131"/>
    <x v="4"/>
    <x v="13"/>
    <n v="49"/>
    <s v="UPI"/>
    <s v="captured"/>
    <n v="90"/>
    <x v="4"/>
    <s v="grocery"/>
    <s v="East"/>
    <n v="0"/>
  </r>
  <r>
    <s v="TXN100014"/>
    <n v="276"/>
    <x v="6"/>
    <x v="14"/>
    <n v="1499"/>
    <s v="UPI"/>
    <s v="captured"/>
    <n v="46"/>
    <x v="6"/>
    <s v="travel"/>
    <s v="East"/>
    <n v="0"/>
  </r>
  <r>
    <s v="TXN100015"/>
    <n v="170"/>
    <x v="12"/>
    <x v="15"/>
    <n v="99"/>
    <s v="UPI"/>
    <s v="captured"/>
    <n v="40"/>
    <x v="12"/>
    <s v="entertainment"/>
    <s v="South"/>
    <n v="0"/>
  </r>
  <r>
    <s v="TXN100016"/>
    <n v="154"/>
    <x v="11"/>
    <x v="16"/>
    <n v="99"/>
    <s v="Netbanking"/>
    <s v="captured"/>
    <n v="39"/>
    <x v="11"/>
    <s v="bill_payment"/>
    <s v="East"/>
    <n v="0.01"/>
  </r>
  <r>
    <s v="TXN100017"/>
    <n v="207"/>
    <x v="13"/>
    <x v="17"/>
    <n v="2999"/>
    <s v="Card"/>
    <s v="captured"/>
    <n v="70"/>
    <x v="13"/>
    <s v="grocery"/>
    <s v="North"/>
    <n v="0.02"/>
  </r>
  <r>
    <s v="TXN100018"/>
    <n v="341"/>
    <x v="14"/>
    <x v="18"/>
    <n v="2999"/>
    <s v="UPI"/>
    <s v="captured"/>
    <n v="86"/>
    <x v="14"/>
    <s v="travel"/>
    <s v="South"/>
    <n v="0"/>
  </r>
  <r>
    <s v="TXN100019"/>
    <n v="292"/>
    <x v="15"/>
    <x v="19"/>
    <n v="49"/>
    <s v="UPI"/>
    <s v="captured"/>
    <n v="51"/>
    <x v="15"/>
    <s v="food_delivery"/>
    <s v="East"/>
    <n v="0"/>
  </r>
  <r>
    <s v="TXN100020"/>
    <n v="147"/>
    <x v="16"/>
    <x v="20"/>
    <n v="99"/>
    <s v="Card"/>
    <s v="captured"/>
    <n v="55"/>
    <x v="16"/>
    <s v="grocery"/>
    <s v="East"/>
    <n v="0.02"/>
  </r>
  <r>
    <s v="TXN100021"/>
    <n v="336"/>
    <x v="17"/>
    <x v="21"/>
    <n v="99"/>
    <s v="UPI"/>
    <s v="captured"/>
    <n v="59"/>
    <x v="17"/>
    <s v="food_delivery"/>
    <s v="East"/>
    <n v="0"/>
  </r>
  <r>
    <s v="TXN100022"/>
    <n v="110"/>
    <x v="11"/>
    <x v="22"/>
    <n v="799"/>
    <s v="UPI"/>
    <s v="captured"/>
    <n v="60"/>
    <x v="11"/>
    <s v="bill_payment"/>
    <s v="East"/>
    <n v="0"/>
  </r>
  <r>
    <s v="TXN100023"/>
    <n v="338"/>
    <x v="18"/>
    <x v="23"/>
    <n v="799"/>
    <s v="UPI"/>
    <s v="chargeback"/>
    <n v="36"/>
    <x v="18"/>
    <s v="food_delivery"/>
    <s v="South"/>
    <n v="0"/>
  </r>
  <r>
    <s v="TXN100024"/>
    <n v="318"/>
    <x v="3"/>
    <x v="24"/>
    <n v="799"/>
    <s v="Wallet"/>
    <s v="captured"/>
    <n v="11"/>
    <x v="3"/>
    <s v="travel"/>
    <s v="South"/>
    <n v="1.4999999999999999E-2"/>
  </r>
  <r>
    <s v="TXN100025"/>
    <n v="159"/>
    <x v="19"/>
    <x v="25"/>
    <n v="799"/>
    <s v="UPI"/>
    <s v="captured"/>
    <n v="25"/>
    <x v="19"/>
    <s v="travel"/>
    <s v="North"/>
    <n v="0"/>
  </r>
  <r>
    <s v="TXN100026"/>
    <n v="126"/>
    <x v="20"/>
    <x v="26"/>
    <n v="49"/>
    <s v="Card"/>
    <s v="captured"/>
    <n v="78"/>
    <x v="20"/>
    <s v="bill_payment"/>
    <s v="East"/>
    <n v="0.02"/>
  </r>
  <r>
    <s v="TXN100027"/>
    <n v="213"/>
    <x v="21"/>
    <x v="27"/>
    <n v="99"/>
    <s v="UPI"/>
    <s v="captured"/>
    <n v="24"/>
    <x v="21"/>
    <s v="entertainment"/>
    <s v="South"/>
    <n v="0"/>
  </r>
  <r>
    <s v="TXN100028"/>
    <n v="254"/>
    <x v="22"/>
    <x v="28"/>
    <n v="99"/>
    <s v="Wallet"/>
    <s v="captured"/>
    <n v="31"/>
    <x v="22"/>
    <s v="food_delivery"/>
    <s v="East"/>
    <n v="1.4999999999999999E-2"/>
  </r>
  <r>
    <s v="TXN100029"/>
    <n v="3"/>
    <x v="23"/>
    <x v="29"/>
    <n v="1499"/>
    <s v="UPI"/>
    <s v="captured"/>
    <n v="99"/>
    <x v="23"/>
    <s v="food_delivery"/>
    <s v="East"/>
    <n v="0"/>
  </r>
  <r>
    <s v="TXN100030"/>
    <n v="266"/>
    <x v="24"/>
    <x v="30"/>
    <n v="499"/>
    <s v="Card"/>
    <s v="captured"/>
    <n v="6"/>
    <x v="24"/>
    <s v="travel"/>
    <s v="West"/>
    <n v="0.02"/>
  </r>
  <r>
    <s v="TXN100031"/>
    <n v="63"/>
    <x v="24"/>
    <x v="31"/>
    <n v="799"/>
    <s v="UPI"/>
    <s v="captured"/>
    <n v="17"/>
    <x v="24"/>
    <s v="travel"/>
    <s v="West"/>
    <n v="0"/>
  </r>
  <r>
    <s v="TXN100032"/>
    <n v="272"/>
    <x v="25"/>
    <x v="32"/>
    <n v="149"/>
    <s v="UPI"/>
    <s v="captured"/>
    <n v="76"/>
    <x v="25"/>
    <s v="entertainment"/>
    <s v="East"/>
    <n v="0"/>
  </r>
  <r>
    <s v="TXN100033"/>
    <n v="259"/>
    <x v="10"/>
    <x v="33"/>
    <n v="49"/>
    <s v="Wallet"/>
    <s v="captured"/>
    <n v="70"/>
    <x v="10"/>
    <s v="ecommerce"/>
    <s v="South"/>
    <n v="1.4999999999999999E-2"/>
  </r>
  <r>
    <s v="TXN100034"/>
    <n v="244"/>
    <x v="26"/>
    <x v="34"/>
    <n v="299"/>
    <s v="Netbanking"/>
    <s v="captured"/>
    <n v="33"/>
    <x v="26"/>
    <s v="ecommerce"/>
    <s v="North"/>
    <n v="0.01"/>
  </r>
  <r>
    <s v="TXN100035"/>
    <n v="327"/>
    <x v="7"/>
    <x v="35"/>
    <n v="149"/>
    <s v="Card"/>
    <s v="captured"/>
    <n v="98"/>
    <x v="7"/>
    <s v="grocery"/>
    <s v="West"/>
    <n v="0.02"/>
  </r>
  <r>
    <s v="TXN100036"/>
    <n v="321"/>
    <x v="0"/>
    <x v="36"/>
    <n v="49"/>
    <s v="UPI"/>
    <s v="captured"/>
    <n v="35"/>
    <x v="0"/>
    <s v="bill_payment"/>
    <s v="West"/>
    <n v="0"/>
  </r>
  <r>
    <s v="TXN100037"/>
    <n v="147"/>
    <x v="0"/>
    <x v="37"/>
    <n v="2999"/>
    <s v="Card"/>
    <s v="captured"/>
    <n v="34"/>
    <x v="0"/>
    <s v="bill_payment"/>
    <s v="West"/>
    <n v="0.02"/>
  </r>
  <r>
    <s v="TXN100038"/>
    <n v="277"/>
    <x v="18"/>
    <x v="38"/>
    <n v="1499"/>
    <s v="Card"/>
    <s v="captured"/>
    <n v="17"/>
    <x v="18"/>
    <s v="food_delivery"/>
    <s v="South"/>
    <n v="0.02"/>
  </r>
  <r>
    <s v="TXN100039"/>
    <n v="79"/>
    <x v="16"/>
    <x v="39"/>
    <n v="1499"/>
    <s v="UPI"/>
    <s v="captured"/>
    <n v="8"/>
    <x v="16"/>
    <s v="grocery"/>
    <s v="East"/>
    <n v="0"/>
  </r>
  <r>
    <s v="TXN100040"/>
    <n v="278"/>
    <x v="24"/>
    <x v="40"/>
    <n v="1499"/>
    <s v="UPI"/>
    <s v="captured"/>
    <n v="53"/>
    <x v="24"/>
    <s v="travel"/>
    <s v="West"/>
    <n v="0"/>
  </r>
  <r>
    <s v="TXN100041"/>
    <n v="216"/>
    <x v="14"/>
    <x v="41"/>
    <n v="99"/>
    <s v="UPI"/>
    <s v="captured"/>
    <n v="98"/>
    <x v="14"/>
    <s v="travel"/>
    <s v="South"/>
    <n v="0"/>
  </r>
  <r>
    <s v="TXN100042"/>
    <n v="295"/>
    <x v="14"/>
    <x v="42"/>
    <n v="1499"/>
    <s v="UPI"/>
    <s v="captured"/>
    <n v="61"/>
    <x v="14"/>
    <s v="travel"/>
    <s v="South"/>
    <n v="0"/>
  </r>
  <r>
    <s v="TXN100043"/>
    <n v="200"/>
    <x v="1"/>
    <x v="43"/>
    <n v="149"/>
    <s v="UPI"/>
    <s v="captured"/>
    <n v="68"/>
    <x v="1"/>
    <s v="ecommerce"/>
    <s v="North"/>
    <n v="0"/>
  </r>
  <r>
    <s v="TXN100044"/>
    <n v="309"/>
    <x v="19"/>
    <x v="44"/>
    <n v="99"/>
    <s v="Netbanking"/>
    <s v="captured"/>
    <n v="62"/>
    <x v="19"/>
    <s v="travel"/>
    <s v="North"/>
    <n v="0.01"/>
  </r>
  <r>
    <s v="TXN100045"/>
    <n v="249"/>
    <x v="27"/>
    <x v="45"/>
    <n v="299"/>
    <s v="Wallet"/>
    <s v="captured"/>
    <n v="49"/>
    <x v="27"/>
    <s v="grocery"/>
    <s v="West"/>
    <n v="1.4999999999999999E-2"/>
  </r>
  <r>
    <s v="TXN100046"/>
    <n v="208"/>
    <x v="2"/>
    <x v="46"/>
    <n v="4999"/>
    <s v="Netbanking"/>
    <s v="captured"/>
    <n v="59"/>
    <x v="2"/>
    <s v="ecommerce"/>
    <s v="North"/>
    <n v="0.01"/>
  </r>
  <r>
    <s v="TXN100047"/>
    <n v="274"/>
    <x v="27"/>
    <x v="47"/>
    <n v="299"/>
    <s v="UPI"/>
    <s v="captured"/>
    <n v="50"/>
    <x v="27"/>
    <s v="grocery"/>
    <s v="West"/>
    <n v="0"/>
  </r>
  <r>
    <s v="TXN100048"/>
    <n v="14"/>
    <x v="18"/>
    <x v="48"/>
    <n v="49"/>
    <s v="Wallet"/>
    <s v="captured"/>
    <n v="82"/>
    <x v="18"/>
    <s v="food_delivery"/>
    <s v="South"/>
    <n v="1.4999999999999999E-2"/>
  </r>
  <r>
    <s v="TXN100049"/>
    <n v="237"/>
    <x v="9"/>
    <x v="49"/>
    <n v="49"/>
    <s v="UPI"/>
    <s v="captured"/>
    <n v="6"/>
    <x v="9"/>
    <s v="ecommerce"/>
    <s v="East"/>
    <n v="0"/>
  </r>
  <r>
    <s v="TXN100050"/>
    <n v="109"/>
    <x v="24"/>
    <x v="50"/>
    <n v="99"/>
    <s v="UPI"/>
    <s v="captured"/>
    <n v="41"/>
    <x v="24"/>
    <s v="travel"/>
    <s v="West"/>
    <n v="0"/>
  </r>
  <r>
    <s v="TXN100051"/>
    <n v="216"/>
    <x v="28"/>
    <x v="51"/>
    <n v="4999"/>
    <s v="UPI"/>
    <s v="captured"/>
    <n v="10"/>
    <x v="28"/>
    <s v="grocery"/>
    <s v="North"/>
    <n v="0"/>
  </r>
  <r>
    <s v="TXN100052"/>
    <n v="277"/>
    <x v="29"/>
    <x v="52"/>
    <n v="799"/>
    <s v="UPI"/>
    <s v="captured"/>
    <n v="44"/>
    <x v="29"/>
    <s v="ecommerce"/>
    <s v="East"/>
    <n v="0"/>
  </r>
  <r>
    <s v="TXN100053"/>
    <n v="334"/>
    <x v="4"/>
    <x v="53"/>
    <n v="149"/>
    <s v="Wallet"/>
    <s v="captured"/>
    <n v="96"/>
    <x v="4"/>
    <s v="grocery"/>
    <s v="East"/>
    <n v="1.4999999999999999E-2"/>
  </r>
  <r>
    <s v="TXN100054"/>
    <n v="11"/>
    <x v="12"/>
    <x v="54"/>
    <n v="299"/>
    <s v="UPI"/>
    <s v="captured"/>
    <n v="19"/>
    <x v="12"/>
    <s v="entertainment"/>
    <s v="South"/>
    <n v="0"/>
  </r>
  <r>
    <s v="TXN100055"/>
    <n v="343"/>
    <x v="30"/>
    <x v="55"/>
    <n v="99"/>
    <s v="UPI"/>
    <s v="captured"/>
    <n v="72"/>
    <x v="30"/>
    <s v="food_delivery"/>
    <s v="North"/>
    <n v="0"/>
  </r>
  <r>
    <s v="TXN100056"/>
    <n v="132"/>
    <x v="31"/>
    <x v="56"/>
    <n v="299"/>
    <s v="Wallet"/>
    <s v="captured"/>
    <n v="21"/>
    <x v="31"/>
    <s v="grocery"/>
    <s v="North"/>
    <n v="1.4999999999999999E-2"/>
  </r>
  <r>
    <s v="TXN100057"/>
    <n v="59"/>
    <x v="2"/>
    <x v="57"/>
    <n v="299"/>
    <s v="UPI"/>
    <s v="captured"/>
    <n v="39"/>
    <x v="2"/>
    <s v="ecommerce"/>
    <s v="North"/>
    <n v="0"/>
  </r>
  <r>
    <s v="TXN100058"/>
    <n v="160"/>
    <x v="21"/>
    <x v="58"/>
    <n v="49"/>
    <s v="Wallet"/>
    <s v="captured"/>
    <n v="86"/>
    <x v="21"/>
    <s v="entertainment"/>
    <s v="South"/>
    <n v="1.4999999999999999E-2"/>
  </r>
  <r>
    <s v="TXN100059"/>
    <n v="102"/>
    <x v="32"/>
    <x v="59"/>
    <n v="2999"/>
    <s v="UPI"/>
    <s v="captured"/>
    <n v="75"/>
    <x v="32"/>
    <s v="recharge"/>
    <s v="South"/>
    <n v="0"/>
  </r>
  <r>
    <s v="TXN100060"/>
    <n v="53"/>
    <x v="15"/>
    <x v="60"/>
    <n v="49"/>
    <s v="Netbanking"/>
    <s v="captured"/>
    <n v="87"/>
    <x v="15"/>
    <s v="food_delivery"/>
    <s v="East"/>
    <n v="0.01"/>
  </r>
  <r>
    <s v="TXN100061"/>
    <n v="290"/>
    <x v="4"/>
    <x v="61"/>
    <n v="99"/>
    <s v="Wallet"/>
    <s v="captured"/>
    <n v="44"/>
    <x v="4"/>
    <s v="grocery"/>
    <s v="East"/>
    <n v="1.4999999999999999E-2"/>
  </r>
  <r>
    <s v="TXN100062"/>
    <n v="190"/>
    <x v="32"/>
    <x v="62"/>
    <n v="299"/>
    <s v="UPI"/>
    <s v="captured"/>
    <n v="64"/>
    <x v="32"/>
    <s v="recharge"/>
    <s v="South"/>
    <n v="0"/>
  </r>
  <r>
    <s v="TXN100063"/>
    <n v="216"/>
    <x v="33"/>
    <x v="63"/>
    <n v="49"/>
    <s v="Card"/>
    <s v="captured"/>
    <n v="13"/>
    <x v="33"/>
    <s v="food_delivery"/>
    <s v="West"/>
    <n v="0.02"/>
  </r>
  <r>
    <s v="TXN100064"/>
    <n v="236"/>
    <x v="34"/>
    <x v="64"/>
    <n v="499"/>
    <s v="UPI"/>
    <s v="captured"/>
    <n v="55"/>
    <x v="34"/>
    <s v="grocery"/>
    <s v="West"/>
    <n v="0"/>
  </r>
  <r>
    <s v="TXN100065"/>
    <n v="334"/>
    <x v="7"/>
    <x v="65"/>
    <n v="499"/>
    <s v="Card"/>
    <s v="captured"/>
    <n v="78"/>
    <x v="7"/>
    <s v="grocery"/>
    <s v="West"/>
    <n v="0.02"/>
  </r>
  <r>
    <s v="TXN100066"/>
    <n v="248"/>
    <x v="24"/>
    <x v="66"/>
    <n v="799"/>
    <s v="Wallet"/>
    <s v="captured"/>
    <n v="55"/>
    <x v="24"/>
    <s v="travel"/>
    <s v="West"/>
    <n v="1.4999999999999999E-2"/>
  </r>
  <r>
    <s v="TXN100067"/>
    <n v="138"/>
    <x v="17"/>
    <x v="67"/>
    <n v="49"/>
    <s v="Card"/>
    <s v="captured"/>
    <n v="31"/>
    <x v="17"/>
    <s v="food_delivery"/>
    <s v="East"/>
    <n v="0.02"/>
  </r>
  <r>
    <s v="TXN100068"/>
    <n v="231"/>
    <x v="0"/>
    <x v="68"/>
    <n v="49"/>
    <s v="UPI"/>
    <s v="captured"/>
    <n v="96"/>
    <x v="0"/>
    <s v="bill_payment"/>
    <s v="West"/>
    <n v="0"/>
  </r>
  <r>
    <s v="TXN100069"/>
    <n v="343"/>
    <x v="14"/>
    <x v="69"/>
    <n v="49"/>
    <s v="UPI"/>
    <s v="captured"/>
    <n v="43"/>
    <x v="14"/>
    <s v="travel"/>
    <s v="South"/>
    <n v="0"/>
  </r>
  <r>
    <s v="TXN100070"/>
    <n v="167"/>
    <x v="9"/>
    <x v="70"/>
    <n v="499"/>
    <s v="Wallet"/>
    <s v="captured"/>
    <n v="62"/>
    <x v="9"/>
    <s v="ecommerce"/>
    <s v="East"/>
    <n v="1.4999999999999999E-2"/>
  </r>
  <r>
    <s v="TXN100071"/>
    <n v="133"/>
    <x v="3"/>
    <x v="71"/>
    <n v="499"/>
    <s v="UPI"/>
    <s v="captured"/>
    <n v="35"/>
    <x v="3"/>
    <s v="travel"/>
    <s v="South"/>
    <n v="0"/>
  </r>
  <r>
    <s v="TXN100072"/>
    <n v="142"/>
    <x v="25"/>
    <x v="72"/>
    <n v="799"/>
    <s v="Wallet"/>
    <s v="captured"/>
    <n v="1"/>
    <x v="25"/>
    <s v="entertainment"/>
    <s v="East"/>
    <n v="1.4999999999999999E-2"/>
  </r>
  <r>
    <s v="TXN100073"/>
    <n v="124"/>
    <x v="1"/>
    <x v="73"/>
    <n v="499"/>
    <s v="Wallet"/>
    <s v="captured"/>
    <n v="62"/>
    <x v="1"/>
    <s v="ecommerce"/>
    <s v="North"/>
    <n v="1.4999999999999999E-2"/>
  </r>
  <r>
    <s v="TXN100074"/>
    <n v="244"/>
    <x v="33"/>
    <x v="74"/>
    <n v="149"/>
    <s v="UPI"/>
    <s v="captured"/>
    <n v="57"/>
    <x v="33"/>
    <s v="food_delivery"/>
    <s v="West"/>
    <n v="0"/>
  </r>
  <r>
    <s v="TXN100075"/>
    <n v="151"/>
    <x v="19"/>
    <x v="75"/>
    <n v="4999"/>
    <s v="UPI"/>
    <s v="captured"/>
    <n v="51"/>
    <x v="19"/>
    <s v="travel"/>
    <s v="North"/>
    <n v="0"/>
  </r>
  <r>
    <s v="TXN100076"/>
    <n v="340"/>
    <x v="35"/>
    <x v="76"/>
    <n v="499"/>
    <s v="Card"/>
    <s v="captured"/>
    <n v="47"/>
    <x v="35"/>
    <s v="grocery"/>
    <s v="East"/>
    <n v="0.02"/>
  </r>
  <r>
    <s v="TXN100077"/>
    <n v="177"/>
    <x v="10"/>
    <x v="77"/>
    <n v="299"/>
    <s v="UPI"/>
    <s v="captured"/>
    <n v="95"/>
    <x v="10"/>
    <s v="ecommerce"/>
    <s v="South"/>
    <n v="0"/>
  </r>
  <r>
    <s v="TXN100078"/>
    <n v="233"/>
    <x v="7"/>
    <x v="78"/>
    <n v="499"/>
    <s v="UPI"/>
    <s v="captured"/>
    <n v="39"/>
    <x v="7"/>
    <s v="grocery"/>
    <s v="West"/>
    <n v="0"/>
  </r>
  <r>
    <s v="TXN100079"/>
    <n v="99"/>
    <x v="17"/>
    <x v="79"/>
    <n v="499"/>
    <s v="UPI"/>
    <s v="captured"/>
    <n v="15"/>
    <x v="17"/>
    <s v="food_delivery"/>
    <s v="East"/>
    <n v="0"/>
  </r>
  <r>
    <s v="TXN100080"/>
    <n v="95"/>
    <x v="6"/>
    <x v="80"/>
    <n v="2999"/>
    <s v="Netbanking"/>
    <s v="failed"/>
    <n v="27"/>
    <x v="6"/>
    <s v="travel"/>
    <s v="East"/>
    <n v="0.01"/>
  </r>
  <r>
    <s v="TXN100081"/>
    <n v="302"/>
    <x v="36"/>
    <x v="81"/>
    <n v="49"/>
    <s v="Netbanking"/>
    <s v="captured"/>
    <n v="76"/>
    <x v="36"/>
    <s v="travel"/>
    <s v="South"/>
    <n v="0.01"/>
  </r>
  <r>
    <s v="TXN100082"/>
    <n v="100"/>
    <x v="13"/>
    <x v="82"/>
    <n v="2999"/>
    <s v="Netbanking"/>
    <s v="captured"/>
    <n v="29"/>
    <x v="13"/>
    <s v="grocery"/>
    <s v="North"/>
    <n v="0.01"/>
  </r>
  <r>
    <s v="TXN100083"/>
    <n v="8"/>
    <x v="8"/>
    <x v="83"/>
    <n v="99"/>
    <s v="UPI"/>
    <s v="captured"/>
    <n v="16"/>
    <x v="8"/>
    <s v="recharge"/>
    <s v="East"/>
    <n v="0"/>
  </r>
  <r>
    <s v="TXN100084"/>
    <n v="284"/>
    <x v="13"/>
    <x v="84"/>
    <n v="99"/>
    <s v="UPI"/>
    <s v="captured"/>
    <n v="89"/>
    <x v="13"/>
    <s v="grocery"/>
    <s v="North"/>
    <n v="0"/>
  </r>
  <r>
    <s v="TXN100085"/>
    <n v="252"/>
    <x v="23"/>
    <x v="85"/>
    <n v="2999"/>
    <s v="Wallet"/>
    <s v="captured"/>
    <n v="1"/>
    <x v="23"/>
    <s v="food_delivery"/>
    <s v="East"/>
    <n v="1.4999999999999999E-2"/>
  </r>
  <r>
    <s v="TXN100086"/>
    <n v="246"/>
    <x v="26"/>
    <x v="86"/>
    <n v="49"/>
    <s v="Wallet"/>
    <s v="captured"/>
    <n v="43"/>
    <x v="26"/>
    <s v="ecommerce"/>
    <s v="North"/>
    <n v="1.4999999999999999E-2"/>
  </r>
  <r>
    <s v="TXN100087"/>
    <n v="245"/>
    <x v="30"/>
    <x v="87"/>
    <n v="49"/>
    <s v="UPI"/>
    <s v="chargeback"/>
    <n v="8"/>
    <x v="30"/>
    <s v="food_delivery"/>
    <s v="North"/>
    <n v="0"/>
  </r>
  <r>
    <s v="TXN100088"/>
    <n v="296"/>
    <x v="29"/>
    <x v="88"/>
    <n v="799"/>
    <s v="Wallet"/>
    <s v="captured"/>
    <n v="19"/>
    <x v="29"/>
    <s v="ecommerce"/>
    <s v="East"/>
    <n v="1.4999999999999999E-2"/>
  </r>
  <r>
    <s v="TXN100089"/>
    <n v="44"/>
    <x v="0"/>
    <x v="89"/>
    <n v="149"/>
    <s v="UPI"/>
    <s v="captured"/>
    <n v="15"/>
    <x v="0"/>
    <s v="bill_payment"/>
    <s v="West"/>
    <n v="0"/>
  </r>
  <r>
    <s v="TXN100090"/>
    <n v="306"/>
    <x v="12"/>
    <x v="90"/>
    <n v="799"/>
    <s v="Card"/>
    <s v="captured"/>
    <n v="28"/>
    <x v="12"/>
    <s v="entertainment"/>
    <s v="South"/>
    <n v="0.02"/>
  </r>
  <r>
    <s v="TXN100091"/>
    <n v="231"/>
    <x v="26"/>
    <x v="91"/>
    <n v="299"/>
    <s v="UPI"/>
    <s v="captured"/>
    <n v="38"/>
    <x v="26"/>
    <s v="ecommerce"/>
    <s v="North"/>
    <n v="0"/>
  </r>
  <r>
    <s v="TXN100092"/>
    <n v="157"/>
    <x v="21"/>
    <x v="92"/>
    <n v="499"/>
    <s v="Wallet"/>
    <s v="captured"/>
    <n v="79"/>
    <x v="21"/>
    <s v="entertainment"/>
    <s v="South"/>
    <n v="1.4999999999999999E-2"/>
  </r>
  <r>
    <s v="TXN100093"/>
    <n v="51"/>
    <x v="16"/>
    <x v="93"/>
    <n v="1499"/>
    <s v="UPI"/>
    <s v="captured"/>
    <n v="80"/>
    <x v="16"/>
    <s v="grocery"/>
    <s v="East"/>
    <n v="0"/>
  </r>
  <r>
    <s v="TXN100094"/>
    <n v="42"/>
    <x v="2"/>
    <x v="94"/>
    <n v="49"/>
    <s v="Wallet"/>
    <s v="captured"/>
    <n v="30"/>
    <x v="2"/>
    <s v="ecommerce"/>
    <s v="North"/>
    <n v="1.4999999999999999E-2"/>
  </r>
  <r>
    <s v="TXN100095"/>
    <n v="81"/>
    <x v="37"/>
    <x v="95"/>
    <n v="149"/>
    <s v="UPI"/>
    <s v="captured"/>
    <n v="52"/>
    <x v="37"/>
    <s v="ecommerce"/>
    <s v="South"/>
    <n v="0"/>
  </r>
  <r>
    <s v="TXN100096"/>
    <n v="241"/>
    <x v="13"/>
    <x v="96"/>
    <n v="299"/>
    <s v="UPI"/>
    <s v="captured"/>
    <n v="4"/>
    <x v="13"/>
    <s v="grocery"/>
    <s v="North"/>
    <n v="0"/>
  </r>
  <r>
    <s v="TXN100097"/>
    <n v="145"/>
    <x v="24"/>
    <x v="97"/>
    <n v="799"/>
    <s v="UPI"/>
    <s v="captured"/>
    <n v="9"/>
    <x v="24"/>
    <s v="travel"/>
    <s v="West"/>
    <n v="0"/>
  </r>
  <r>
    <s v="TXN100098"/>
    <n v="136"/>
    <x v="35"/>
    <x v="98"/>
    <n v="299"/>
    <s v="Card"/>
    <s v="captured"/>
    <n v="84"/>
    <x v="35"/>
    <s v="grocery"/>
    <s v="East"/>
    <n v="0.02"/>
  </r>
  <r>
    <s v="TXN100099"/>
    <n v="59"/>
    <x v="8"/>
    <x v="99"/>
    <n v="499"/>
    <s v="UPI"/>
    <s v="captured"/>
    <n v="28"/>
    <x v="8"/>
    <s v="recharge"/>
    <s v="East"/>
    <n v="0"/>
  </r>
  <r>
    <s v="TXN100100"/>
    <n v="137"/>
    <x v="34"/>
    <x v="100"/>
    <n v="299"/>
    <s v="UPI"/>
    <s v="captured"/>
    <n v="9"/>
    <x v="34"/>
    <s v="grocery"/>
    <s v="West"/>
    <n v="0"/>
  </r>
  <r>
    <s v="TXN100101"/>
    <n v="158"/>
    <x v="38"/>
    <x v="101"/>
    <n v="499"/>
    <s v="Netbanking"/>
    <s v="captured"/>
    <n v="95"/>
    <x v="38"/>
    <s v="entertainment"/>
    <s v="North"/>
    <n v="0.01"/>
  </r>
  <r>
    <s v="TXN100102"/>
    <n v="148"/>
    <x v="26"/>
    <x v="102"/>
    <n v="99"/>
    <s v="Card"/>
    <s v="captured"/>
    <n v="15"/>
    <x v="26"/>
    <s v="ecommerce"/>
    <s v="North"/>
    <n v="0.02"/>
  </r>
  <r>
    <s v="TXN100103"/>
    <n v="207"/>
    <x v="7"/>
    <x v="103"/>
    <n v="149"/>
    <s v="UPI"/>
    <s v="captured"/>
    <n v="64"/>
    <x v="7"/>
    <s v="grocery"/>
    <s v="West"/>
    <n v="0"/>
  </r>
  <r>
    <s v="TXN100104"/>
    <n v="42"/>
    <x v="38"/>
    <x v="104"/>
    <n v="2999"/>
    <s v="Card"/>
    <s v="captured"/>
    <n v="5"/>
    <x v="38"/>
    <s v="entertainment"/>
    <s v="North"/>
    <n v="0.02"/>
  </r>
  <r>
    <s v="TXN100105"/>
    <n v="166"/>
    <x v="38"/>
    <x v="105"/>
    <n v="149"/>
    <s v="UPI"/>
    <s v="captured"/>
    <n v="32"/>
    <x v="38"/>
    <s v="entertainment"/>
    <s v="North"/>
    <n v="0"/>
  </r>
  <r>
    <s v="TXN100106"/>
    <n v="346"/>
    <x v="21"/>
    <x v="106"/>
    <n v="99"/>
    <s v="UPI"/>
    <s v="captured"/>
    <n v="75"/>
    <x v="21"/>
    <s v="entertainment"/>
    <s v="South"/>
    <n v="0"/>
  </r>
  <r>
    <s v="TXN100107"/>
    <n v="138"/>
    <x v="21"/>
    <x v="107"/>
    <n v="499"/>
    <s v="UPI"/>
    <s v="captured"/>
    <n v="5"/>
    <x v="21"/>
    <s v="entertainment"/>
    <s v="South"/>
    <n v="0"/>
  </r>
  <r>
    <s v="TXN100108"/>
    <n v="266"/>
    <x v="26"/>
    <x v="108"/>
    <n v="499"/>
    <s v="Wallet"/>
    <s v="failed"/>
    <n v="35"/>
    <x v="26"/>
    <s v="ecommerce"/>
    <s v="North"/>
    <n v="1.4999999999999999E-2"/>
  </r>
  <r>
    <s v="TXN100109"/>
    <n v="326"/>
    <x v="33"/>
    <x v="109"/>
    <n v="149"/>
    <s v="UPI"/>
    <s v="captured"/>
    <n v="11"/>
    <x v="33"/>
    <s v="food_delivery"/>
    <s v="West"/>
    <n v="0"/>
  </r>
  <r>
    <s v="TXN100110"/>
    <n v="171"/>
    <x v="17"/>
    <x v="110"/>
    <n v="799"/>
    <s v="UPI"/>
    <s v="captured"/>
    <n v="85"/>
    <x v="17"/>
    <s v="food_delivery"/>
    <s v="East"/>
    <n v="0"/>
  </r>
  <r>
    <s v="TXN100111"/>
    <n v="211"/>
    <x v="33"/>
    <x v="111"/>
    <n v="49"/>
    <s v="UPI"/>
    <s v="captured"/>
    <n v="36"/>
    <x v="33"/>
    <s v="food_delivery"/>
    <s v="West"/>
    <n v="0"/>
  </r>
  <r>
    <s v="TXN100112"/>
    <n v="282"/>
    <x v="4"/>
    <x v="112"/>
    <n v="499"/>
    <s v="UPI"/>
    <s v="captured"/>
    <n v="58"/>
    <x v="4"/>
    <s v="grocery"/>
    <s v="East"/>
    <n v="0"/>
  </r>
  <r>
    <s v="TXN100113"/>
    <n v="166"/>
    <x v="30"/>
    <x v="113"/>
    <n v="299"/>
    <s v="UPI"/>
    <s v="captured"/>
    <n v="98"/>
    <x v="30"/>
    <s v="food_delivery"/>
    <s v="North"/>
    <n v="0"/>
  </r>
  <r>
    <s v="TXN100114"/>
    <n v="1"/>
    <x v="8"/>
    <x v="114"/>
    <n v="149"/>
    <s v="UPI"/>
    <s v="captured"/>
    <n v="59"/>
    <x v="8"/>
    <s v="recharge"/>
    <s v="East"/>
    <n v="0"/>
  </r>
  <r>
    <s v="TXN100115"/>
    <n v="266"/>
    <x v="31"/>
    <x v="115"/>
    <n v="499"/>
    <s v="UPI"/>
    <s v="captured"/>
    <n v="79"/>
    <x v="31"/>
    <s v="grocery"/>
    <s v="North"/>
    <n v="0"/>
  </r>
  <r>
    <s v="TXN100116"/>
    <n v="227"/>
    <x v="29"/>
    <x v="116"/>
    <n v="499"/>
    <s v="UPI"/>
    <s v="captured"/>
    <n v="26"/>
    <x v="29"/>
    <s v="ecommerce"/>
    <s v="East"/>
    <n v="0"/>
  </r>
  <r>
    <s v="TXN100117"/>
    <n v="148"/>
    <x v="26"/>
    <x v="117"/>
    <n v="499"/>
    <s v="UPI"/>
    <s v="captured"/>
    <n v="89"/>
    <x v="26"/>
    <s v="ecommerce"/>
    <s v="North"/>
    <n v="0"/>
  </r>
  <r>
    <s v="TXN100118"/>
    <n v="323"/>
    <x v="38"/>
    <x v="118"/>
    <n v="499"/>
    <s v="UPI"/>
    <s v="captured"/>
    <n v="30"/>
    <x v="38"/>
    <s v="entertainment"/>
    <s v="North"/>
    <n v="0"/>
  </r>
  <r>
    <s v="TXN100119"/>
    <n v="283"/>
    <x v="37"/>
    <x v="119"/>
    <n v="2999"/>
    <s v="Wallet"/>
    <s v="captured"/>
    <n v="70"/>
    <x v="37"/>
    <s v="ecommerce"/>
    <s v="South"/>
    <n v="1.4999999999999999E-2"/>
  </r>
  <r>
    <s v="TXN100120"/>
    <n v="59"/>
    <x v="24"/>
    <x v="120"/>
    <n v="499"/>
    <s v="UPI"/>
    <s v="captured"/>
    <n v="15"/>
    <x v="24"/>
    <s v="travel"/>
    <s v="West"/>
    <n v="0"/>
  </r>
  <r>
    <s v="TXN100121"/>
    <n v="150"/>
    <x v="11"/>
    <x v="121"/>
    <n v="2999"/>
    <s v="UPI"/>
    <s v="captured"/>
    <n v="90"/>
    <x v="11"/>
    <s v="bill_payment"/>
    <s v="East"/>
    <n v="0"/>
  </r>
  <r>
    <s v="TXN100122"/>
    <n v="248"/>
    <x v="20"/>
    <x v="122"/>
    <n v="1499"/>
    <s v="UPI"/>
    <s v="failed"/>
    <n v="31"/>
    <x v="20"/>
    <s v="bill_payment"/>
    <s v="East"/>
    <n v="0"/>
  </r>
  <r>
    <s v="TXN100123"/>
    <n v="197"/>
    <x v="6"/>
    <x v="123"/>
    <n v="49"/>
    <s v="UPI"/>
    <s v="captured"/>
    <n v="76"/>
    <x v="6"/>
    <s v="travel"/>
    <s v="East"/>
    <n v="0"/>
  </r>
  <r>
    <s v="TXN100124"/>
    <n v="70"/>
    <x v="32"/>
    <x v="124"/>
    <n v="499"/>
    <s v="UPI"/>
    <s v="captured"/>
    <n v="35"/>
    <x v="32"/>
    <s v="recharge"/>
    <s v="South"/>
    <n v="0"/>
  </r>
  <r>
    <s v="TXN100125"/>
    <n v="260"/>
    <x v="7"/>
    <x v="125"/>
    <n v="1499"/>
    <s v="UPI"/>
    <s v="captured"/>
    <n v="0"/>
    <x v="7"/>
    <s v="grocery"/>
    <s v="West"/>
    <n v="0"/>
  </r>
  <r>
    <s v="TXN100126"/>
    <n v="301"/>
    <x v="35"/>
    <x v="126"/>
    <n v="99"/>
    <s v="UPI"/>
    <s v="captured"/>
    <n v="84"/>
    <x v="35"/>
    <s v="grocery"/>
    <s v="East"/>
    <n v="0"/>
  </r>
  <r>
    <s v="TXN100127"/>
    <n v="276"/>
    <x v="20"/>
    <x v="127"/>
    <n v="499"/>
    <s v="Card"/>
    <s v="captured"/>
    <n v="44"/>
    <x v="20"/>
    <s v="bill_payment"/>
    <s v="East"/>
    <n v="0.02"/>
  </r>
  <r>
    <s v="TXN100128"/>
    <n v="279"/>
    <x v="14"/>
    <x v="128"/>
    <n v="799"/>
    <s v="UPI"/>
    <s v="captured"/>
    <n v="58"/>
    <x v="14"/>
    <s v="travel"/>
    <s v="South"/>
    <n v="0"/>
  </r>
  <r>
    <s v="TXN100129"/>
    <n v="97"/>
    <x v="0"/>
    <x v="129"/>
    <n v="799"/>
    <s v="Card"/>
    <s v="captured"/>
    <n v="73"/>
    <x v="0"/>
    <s v="bill_payment"/>
    <s v="West"/>
    <n v="0.02"/>
  </r>
  <r>
    <s v="TXN100130"/>
    <n v="211"/>
    <x v="4"/>
    <x v="130"/>
    <n v="149"/>
    <s v="UPI"/>
    <s v="chargeback"/>
    <n v="40"/>
    <x v="4"/>
    <s v="grocery"/>
    <s v="East"/>
    <n v="0"/>
  </r>
  <r>
    <s v="TXN100131"/>
    <n v="196"/>
    <x v="14"/>
    <x v="131"/>
    <n v="149"/>
    <s v="Netbanking"/>
    <s v="captured"/>
    <n v="84"/>
    <x v="14"/>
    <s v="travel"/>
    <s v="South"/>
    <n v="0.01"/>
  </r>
  <r>
    <s v="TXN100132"/>
    <n v="254"/>
    <x v="4"/>
    <x v="132"/>
    <n v="149"/>
    <s v="Card"/>
    <s v="captured"/>
    <n v="16"/>
    <x v="4"/>
    <s v="grocery"/>
    <s v="East"/>
    <n v="0.02"/>
  </r>
  <r>
    <s v="TXN100133"/>
    <n v="52"/>
    <x v="26"/>
    <x v="133"/>
    <n v="49"/>
    <s v="Netbanking"/>
    <s v="captured"/>
    <n v="12"/>
    <x v="26"/>
    <s v="ecommerce"/>
    <s v="North"/>
    <n v="0.01"/>
  </r>
  <r>
    <s v="TXN100134"/>
    <n v="74"/>
    <x v="1"/>
    <x v="134"/>
    <n v="799"/>
    <s v="UPI"/>
    <s v="captured"/>
    <n v="83"/>
    <x v="1"/>
    <s v="ecommerce"/>
    <s v="North"/>
    <n v="0"/>
  </r>
  <r>
    <s v="TXN100135"/>
    <n v="136"/>
    <x v="3"/>
    <x v="135"/>
    <n v="149"/>
    <s v="UPI"/>
    <s v="captured"/>
    <n v="79"/>
    <x v="3"/>
    <s v="travel"/>
    <s v="South"/>
    <n v="0"/>
  </r>
  <r>
    <s v="TXN100136"/>
    <n v="42"/>
    <x v="3"/>
    <x v="136"/>
    <n v="49"/>
    <s v="UPI"/>
    <s v="captured"/>
    <n v="86"/>
    <x v="3"/>
    <s v="travel"/>
    <s v="South"/>
    <n v="0"/>
  </r>
  <r>
    <s v="TXN100137"/>
    <n v="163"/>
    <x v="33"/>
    <x v="137"/>
    <n v="2999"/>
    <s v="Wallet"/>
    <s v="failed"/>
    <n v="69"/>
    <x v="33"/>
    <s v="food_delivery"/>
    <s v="West"/>
    <n v="1.4999999999999999E-2"/>
  </r>
  <r>
    <s v="TXN100138"/>
    <n v="121"/>
    <x v="13"/>
    <x v="138"/>
    <n v="149"/>
    <s v="UPI"/>
    <s v="captured"/>
    <n v="29"/>
    <x v="13"/>
    <s v="grocery"/>
    <s v="North"/>
    <n v="0"/>
  </r>
  <r>
    <s v="TXN100139"/>
    <n v="51"/>
    <x v="23"/>
    <x v="139"/>
    <n v="499"/>
    <s v="Card"/>
    <s v="captured"/>
    <n v="56"/>
    <x v="23"/>
    <s v="food_delivery"/>
    <s v="East"/>
    <n v="0.02"/>
  </r>
  <r>
    <s v="TXN100140"/>
    <n v="15"/>
    <x v="4"/>
    <x v="140"/>
    <n v="799"/>
    <s v="UPI"/>
    <s v="captured"/>
    <n v="41"/>
    <x v="4"/>
    <s v="grocery"/>
    <s v="East"/>
    <n v="0"/>
  </r>
  <r>
    <s v="TXN100141"/>
    <n v="184"/>
    <x v="31"/>
    <x v="141"/>
    <n v="49"/>
    <s v="UPI"/>
    <s v="captured"/>
    <n v="55"/>
    <x v="31"/>
    <s v="grocery"/>
    <s v="North"/>
    <n v="0"/>
  </r>
  <r>
    <s v="TXN100142"/>
    <n v="211"/>
    <x v="21"/>
    <x v="142"/>
    <n v="1499"/>
    <s v="UPI"/>
    <s v="captured"/>
    <n v="87"/>
    <x v="21"/>
    <s v="entertainment"/>
    <s v="South"/>
    <n v="0"/>
  </r>
  <r>
    <s v="TXN100143"/>
    <n v="90"/>
    <x v="18"/>
    <x v="143"/>
    <n v="49"/>
    <s v="Card"/>
    <s v="captured"/>
    <n v="78"/>
    <x v="18"/>
    <s v="food_delivery"/>
    <s v="South"/>
    <n v="0.02"/>
  </r>
  <r>
    <s v="TXN100144"/>
    <n v="350"/>
    <x v="0"/>
    <x v="144"/>
    <n v="49"/>
    <s v="UPI"/>
    <s v="captured"/>
    <n v="63"/>
    <x v="0"/>
    <s v="bill_payment"/>
    <s v="West"/>
    <n v="0"/>
  </r>
  <r>
    <s v="TXN100145"/>
    <n v="119"/>
    <x v="24"/>
    <x v="145"/>
    <n v="49"/>
    <s v="Card"/>
    <s v="captured"/>
    <n v="81"/>
    <x v="24"/>
    <s v="travel"/>
    <s v="West"/>
    <n v="0.02"/>
  </r>
  <r>
    <s v="TXN100146"/>
    <n v="342"/>
    <x v="37"/>
    <x v="146"/>
    <n v="49"/>
    <s v="UPI"/>
    <s v="captured"/>
    <n v="59"/>
    <x v="37"/>
    <s v="ecommerce"/>
    <s v="South"/>
    <n v="0"/>
  </r>
  <r>
    <s v="TXN100147"/>
    <n v="280"/>
    <x v="2"/>
    <x v="147"/>
    <n v="149"/>
    <s v="UPI"/>
    <s v="chargeback"/>
    <n v="9"/>
    <x v="2"/>
    <s v="ecommerce"/>
    <s v="North"/>
    <n v="0"/>
  </r>
  <r>
    <s v="TXN100148"/>
    <n v="154"/>
    <x v="10"/>
    <x v="148"/>
    <n v="2999"/>
    <s v="Netbanking"/>
    <s v="captured"/>
    <n v="88"/>
    <x v="10"/>
    <s v="ecommerce"/>
    <s v="South"/>
    <n v="0.01"/>
  </r>
  <r>
    <s v="TXN100149"/>
    <n v="155"/>
    <x v="6"/>
    <x v="149"/>
    <n v="149"/>
    <s v="UPI"/>
    <s v="captured"/>
    <n v="49"/>
    <x v="6"/>
    <s v="travel"/>
    <s v="East"/>
    <n v="0"/>
  </r>
  <r>
    <s v="TXN100150"/>
    <n v="122"/>
    <x v="14"/>
    <x v="150"/>
    <n v="299"/>
    <s v="UPI"/>
    <s v="captured"/>
    <n v="73"/>
    <x v="14"/>
    <s v="travel"/>
    <s v="South"/>
    <n v="0"/>
  </r>
  <r>
    <s v="TXN100151"/>
    <n v="152"/>
    <x v="27"/>
    <x v="151"/>
    <n v="49"/>
    <s v="UPI"/>
    <s v="captured"/>
    <n v="84"/>
    <x v="27"/>
    <s v="grocery"/>
    <s v="West"/>
    <n v="0"/>
  </r>
  <r>
    <s v="TXN100152"/>
    <n v="290"/>
    <x v="29"/>
    <x v="152"/>
    <n v="149"/>
    <s v="UPI"/>
    <s v="captured"/>
    <n v="77"/>
    <x v="29"/>
    <s v="ecommerce"/>
    <s v="East"/>
    <n v="0"/>
  </r>
  <r>
    <s v="TXN100153"/>
    <n v="147"/>
    <x v="19"/>
    <x v="153"/>
    <n v="49"/>
    <s v="Wallet"/>
    <s v="captured"/>
    <n v="77"/>
    <x v="19"/>
    <s v="travel"/>
    <s v="North"/>
    <n v="1.4999999999999999E-2"/>
  </r>
  <r>
    <s v="TXN100154"/>
    <n v="326"/>
    <x v="6"/>
    <x v="154"/>
    <n v="299"/>
    <s v="Netbanking"/>
    <s v="captured"/>
    <n v="79"/>
    <x v="6"/>
    <s v="travel"/>
    <s v="East"/>
    <n v="0.01"/>
  </r>
  <r>
    <s v="TXN100155"/>
    <n v="338"/>
    <x v="39"/>
    <x v="155"/>
    <n v="99"/>
    <s v="Card"/>
    <s v="captured"/>
    <n v="80"/>
    <x v="39"/>
    <s v="ecommerce"/>
    <s v="North"/>
    <n v="0.02"/>
  </r>
  <r>
    <s v="TXN100156"/>
    <n v="21"/>
    <x v="15"/>
    <x v="156"/>
    <n v="2999"/>
    <s v="UPI"/>
    <s v="captured"/>
    <n v="100"/>
    <x v="15"/>
    <s v="food_delivery"/>
    <s v="East"/>
    <n v="0"/>
  </r>
  <r>
    <s v="TXN100157"/>
    <n v="187"/>
    <x v="39"/>
    <x v="157"/>
    <n v="49"/>
    <s v="Card"/>
    <s v="failed"/>
    <n v="11"/>
    <x v="39"/>
    <s v="ecommerce"/>
    <s v="North"/>
    <n v="0.02"/>
  </r>
  <r>
    <s v="TXN100158"/>
    <n v="213"/>
    <x v="9"/>
    <x v="158"/>
    <n v="4999"/>
    <s v="UPI"/>
    <s v="captured"/>
    <n v="25"/>
    <x v="9"/>
    <s v="ecommerce"/>
    <s v="East"/>
    <n v="0"/>
  </r>
  <r>
    <s v="TXN100159"/>
    <n v="188"/>
    <x v="36"/>
    <x v="159"/>
    <n v="2999"/>
    <s v="UPI"/>
    <s v="captured"/>
    <n v="64"/>
    <x v="36"/>
    <s v="travel"/>
    <s v="South"/>
    <n v="0"/>
  </r>
  <r>
    <s v="TXN100160"/>
    <n v="85"/>
    <x v="28"/>
    <x v="160"/>
    <n v="499"/>
    <s v="UPI"/>
    <s v="captured"/>
    <n v="61"/>
    <x v="28"/>
    <s v="grocery"/>
    <s v="North"/>
    <n v="0"/>
  </r>
  <r>
    <s v="TXN100161"/>
    <n v="174"/>
    <x v="30"/>
    <x v="161"/>
    <n v="299"/>
    <s v="Netbanking"/>
    <s v="captured"/>
    <n v="59"/>
    <x v="30"/>
    <s v="food_delivery"/>
    <s v="North"/>
    <n v="0.01"/>
  </r>
  <r>
    <s v="TXN100162"/>
    <n v="116"/>
    <x v="22"/>
    <x v="162"/>
    <n v="99"/>
    <s v="Netbanking"/>
    <s v="captured"/>
    <n v="71"/>
    <x v="22"/>
    <s v="food_delivery"/>
    <s v="East"/>
    <n v="0.01"/>
  </r>
  <r>
    <s v="TXN100163"/>
    <n v="203"/>
    <x v="37"/>
    <x v="163"/>
    <n v="149"/>
    <s v="Wallet"/>
    <s v="captured"/>
    <n v="33"/>
    <x v="37"/>
    <s v="ecommerce"/>
    <s v="South"/>
    <n v="1.4999999999999999E-2"/>
  </r>
  <r>
    <s v="TXN100164"/>
    <n v="189"/>
    <x v="28"/>
    <x v="164"/>
    <n v="99"/>
    <s v="UPI"/>
    <s v="captured"/>
    <n v="74"/>
    <x v="28"/>
    <s v="grocery"/>
    <s v="North"/>
    <n v="0"/>
  </r>
  <r>
    <s v="TXN100165"/>
    <n v="56"/>
    <x v="19"/>
    <x v="165"/>
    <n v="299"/>
    <s v="UPI"/>
    <s v="captured"/>
    <n v="60"/>
    <x v="19"/>
    <s v="travel"/>
    <s v="North"/>
    <n v="0"/>
  </r>
  <r>
    <s v="TXN100166"/>
    <n v="288"/>
    <x v="17"/>
    <x v="166"/>
    <n v="4999"/>
    <s v="Wallet"/>
    <s v="failed"/>
    <n v="78"/>
    <x v="17"/>
    <s v="food_delivery"/>
    <s v="East"/>
    <n v="1.4999999999999999E-2"/>
  </r>
  <r>
    <s v="TXN100167"/>
    <n v="326"/>
    <x v="24"/>
    <x v="53"/>
    <n v="99"/>
    <s v="Card"/>
    <s v="captured"/>
    <n v="89"/>
    <x v="24"/>
    <s v="travel"/>
    <s v="West"/>
    <n v="0.02"/>
  </r>
  <r>
    <s v="TXN100168"/>
    <n v="60"/>
    <x v="39"/>
    <x v="167"/>
    <n v="49"/>
    <s v="Netbanking"/>
    <s v="captured"/>
    <n v="5"/>
    <x v="39"/>
    <s v="ecommerce"/>
    <s v="North"/>
    <n v="0.01"/>
  </r>
  <r>
    <s v="TXN100169"/>
    <n v="60"/>
    <x v="23"/>
    <x v="168"/>
    <n v="2999"/>
    <s v="Wallet"/>
    <s v="captured"/>
    <n v="30"/>
    <x v="23"/>
    <s v="food_delivery"/>
    <s v="East"/>
    <n v="1.4999999999999999E-2"/>
  </r>
  <r>
    <s v="TXN100170"/>
    <n v="199"/>
    <x v="24"/>
    <x v="169"/>
    <n v="149"/>
    <s v="Netbanking"/>
    <s v="captured"/>
    <n v="47"/>
    <x v="24"/>
    <s v="travel"/>
    <s v="West"/>
    <n v="0.01"/>
  </r>
  <r>
    <s v="TXN100171"/>
    <n v="277"/>
    <x v="1"/>
    <x v="170"/>
    <n v="49"/>
    <s v="UPI"/>
    <s v="captured"/>
    <n v="75"/>
    <x v="1"/>
    <s v="ecommerce"/>
    <s v="North"/>
    <n v="0"/>
  </r>
  <r>
    <s v="TXN100172"/>
    <n v="213"/>
    <x v="23"/>
    <x v="171"/>
    <n v="799"/>
    <s v="Netbanking"/>
    <s v="captured"/>
    <n v="62"/>
    <x v="23"/>
    <s v="food_delivery"/>
    <s v="East"/>
    <n v="0.01"/>
  </r>
  <r>
    <s v="TXN100173"/>
    <n v="17"/>
    <x v="31"/>
    <x v="172"/>
    <n v="299"/>
    <s v="UPI"/>
    <s v="captured"/>
    <n v="27"/>
    <x v="31"/>
    <s v="grocery"/>
    <s v="North"/>
    <n v="0"/>
  </r>
  <r>
    <s v="TXN100174"/>
    <n v="186"/>
    <x v="23"/>
    <x v="173"/>
    <n v="1499"/>
    <s v="Card"/>
    <s v="failed"/>
    <n v="87"/>
    <x v="23"/>
    <s v="food_delivery"/>
    <s v="East"/>
    <n v="0.02"/>
  </r>
  <r>
    <s v="TXN100175"/>
    <n v="331"/>
    <x v="5"/>
    <x v="174"/>
    <n v="149"/>
    <s v="UPI"/>
    <s v="captured"/>
    <n v="7"/>
    <x v="5"/>
    <s v="travel"/>
    <s v="North"/>
    <n v="0"/>
  </r>
  <r>
    <s v="TXN100176"/>
    <n v="63"/>
    <x v="24"/>
    <x v="175"/>
    <n v="1499"/>
    <s v="Card"/>
    <s v="captured"/>
    <n v="11"/>
    <x v="24"/>
    <s v="travel"/>
    <s v="West"/>
    <n v="0.02"/>
  </r>
  <r>
    <s v="TXN100177"/>
    <n v="328"/>
    <x v="38"/>
    <x v="176"/>
    <n v="4999"/>
    <s v="Wallet"/>
    <s v="chargeback"/>
    <n v="2"/>
    <x v="38"/>
    <s v="entertainment"/>
    <s v="North"/>
    <n v="1.4999999999999999E-2"/>
  </r>
  <r>
    <s v="TXN100178"/>
    <n v="65"/>
    <x v="21"/>
    <x v="177"/>
    <n v="2999"/>
    <s v="Card"/>
    <s v="captured"/>
    <n v="26"/>
    <x v="21"/>
    <s v="entertainment"/>
    <s v="South"/>
    <n v="0.02"/>
  </r>
  <r>
    <s v="TXN100179"/>
    <n v="301"/>
    <x v="16"/>
    <x v="178"/>
    <n v="149"/>
    <s v="UPI"/>
    <s v="captured"/>
    <n v="29"/>
    <x v="16"/>
    <s v="grocery"/>
    <s v="East"/>
    <n v="0"/>
  </r>
  <r>
    <s v="TXN100180"/>
    <n v="306"/>
    <x v="37"/>
    <x v="179"/>
    <n v="299"/>
    <s v="UPI"/>
    <s v="failed"/>
    <n v="35"/>
    <x v="37"/>
    <s v="ecommerce"/>
    <s v="South"/>
    <n v="0"/>
  </r>
  <r>
    <s v="TXN100181"/>
    <n v="277"/>
    <x v="28"/>
    <x v="180"/>
    <n v="299"/>
    <s v="UPI"/>
    <s v="captured"/>
    <n v="22"/>
    <x v="28"/>
    <s v="grocery"/>
    <s v="North"/>
    <n v="0"/>
  </r>
  <r>
    <s v="TXN100182"/>
    <n v="14"/>
    <x v="39"/>
    <x v="181"/>
    <n v="499"/>
    <s v="UPI"/>
    <s v="captured"/>
    <n v="1"/>
    <x v="39"/>
    <s v="ecommerce"/>
    <s v="North"/>
    <n v="0"/>
  </r>
  <r>
    <s v="TXN100183"/>
    <n v="166"/>
    <x v="27"/>
    <x v="182"/>
    <n v="299"/>
    <s v="Card"/>
    <s v="captured"/>
    <n v="22"/>
    <x v="27"/>
    <s v="grocery"/>
    <s v="West"/>
    <n v="0.02"/>
  </r>
  <r>
    <s v="TXN100184"/>
    <n v="216"/>
    <x v="36"/>
    <x v="183"/>
    <n v="299"/>
    <s v="Card"/>
    <s v="captured"/>
    <n v="14"/>
    <x v="36"/>
    <s v="travel"/>
    <s v="South"/>
    <n v="0.02"/>
  </r>
  <r>
    <s v="TXN100185"/>
    <n v="230"/>
    <x v="31"/>
    <x v="184"/>
    <n v="49"/>
    <s v="UPI"/>
    <s v="captured"/>
    <n v="65"/>
    <x v="31"/>
    <s v="grocery"/>
    <s v="North"/>
    <n v="0"/>
  </r>
  <r>
    <s v="TXN100186"/>
    <n v="258"/>
    <x v="19"/>
    <x v="185"/>
    <n v="499"/>
    <s v="Wallet"/>
    <s v="captured"/>
    <n v="78"/>
    <x v="19"/>
    <s v="travel"/>
    <s v="North"/>
    <n v="1.4999999999999999E-2"/>
  </r>
  <r>
    <s v="TXN100187"/>
    <n v="338"/>
    <x v="36"/>
    <x v="186"/>
    <n v="49"/>
    <s v="UPI"/>
    <s v="captured"/>
    <n v="38"/>
    <x v="36"/>
    <s v="travel"/>
    <s v="South"/>
    <n v="0"/>
  </r>
  <r>
    <s v="TXN100188"/>
    <n v="32"/>
    <x v="20"/>
    <x v="187"/>
    <n v="299"/>
    <s v="UPI"/>
    <s v="captured"/>
    <n v="51"/>
    <x v="20"/>
    <s v="bill_payment"/>
    <s v="East"/>
    <n v="0"/>
  </r>
  <r>
    <s v="TXN100189"/>
    <n v="252"/>
    <x v="26"/>
    <x v="188"/>
    <n v="1499"/>
    <s v="UPI"/>
    <s v="captured"/>
    <n v="9"/>
    <x v="26"/>
    <s v="ecommerce"/>
    <s v="North"/>
    <n v="0"/>
  </r>
  <r>
    <s v="TXN100190"/>
    <n v="312"/>
    <x v="34"/>
    <x v="189"/>
    <n v="799"/>
    <s v="UPI"/>
    <s v="captured"/>
    <n v="8"/>
    <x v="34"/>
    <s v="grocery"/>
    <s v="West"/>
    <n v="0"/>
  </r>
  <r>
    <s v="TXN100191"/>
    <n v="325"/>
    <x v="35"/>
    <x v="190"/>
    <n v="1499"/>
    <s v="Netbanking"/>
    <s v="captured"/>
    <n v="70"/>
    <x v="35"/>
    <s v="grocery"/>
    <s v="East"/>
    <n v="0.01"/>
  </r>
  <r>
    <s v="TXN100192"/>
    <n v="306"/>
    <x v="36"/>
    <x v="191"/>
    <n v="2999"/>
    <s v="UPI"/>
    <s v="captured"/>
    <n v="37"/>
    <x v="36"/>
    <s v="travel"/>
    <s v="South"/>
    <n v="0"/>
  </r>
  <r>
    <s v="TXN100193"/>
    <n v="221"/>
    <x v="23"/>
    <x v="192"/>
    <n v="149"/>
    <s v="Netbanking"/>
    <s v="captured"/>
    <n v="89"/>
    <x v="23"/>
    <s v="food_delivery"/>
    <s v="East"/>
    <n v="0.01"/>
  </r>
  <r>
    <s v="TXN100194"/>
    <n v="283"/>
    <x v="16"/>
    <x v="156"/>
    <n v="99"/>
    <s v="Wallet"/>
    <s v="captured"/>
    <n v="55"/>
    <x v="16"/>
    <s v="grocery"/>
    <s v="East"/>
    <n v="1.4999999999999999E-2"/>
  </r>
  <r>
    <s v="TXN100195"/>
    <n v="174"/>
    <x v="24"/>
    <x v="193"/>
    <n v="49"/>
    <s v="UPI"/>
    <s v="captured"/>
    <n v="51"/>
    <x v="24"/>
    <s v="travel"/>
    <s v="West"/>
    <n v="0"/>
  </r>
  <r>
    <s v="TXN100196"/>
    <n v="161"/>
    <x v="10"/>
    <x v="194"/>
    <n v="49"/>
    <s v="UPI"/>
    <s v="captured"/>
    <n v="40"/>
    <x v="10"/>
    <s v="ecommerce"/>
    <s v="South"/>
    <n v="0"/>
  </r>
  <r>
    <s v="TXN100197"/>
    <n v="79"/>
    <x v="20"/>
    <x v="195"/>
    <n v="99"/>
    <s v="UPI"/>
    <s v="captured"/>
    <n v="8"/>
    <x v="20"/>
    <s v="bill_payment"/>
    <s v="East"/>
    <n v="0"/>
  </r>
  <r>
    <s v="TXN100198"/>
    <n v="222"/>
    <x v="23"/>
    <x v="196"/>
    <n v="149"/>
    <s v="Wallet"/>
    <s v="captured"/>
    <n v="95"/>
    <x v="23"/>
    <s v="food_delivery"/>
    <s v="East"/>
    <n v="1.4999999999999999E-2"/>
  </r>
  <r>
    <s v="TXN100199"/>
    <n v="67"/>
    <x v="25"/>
    <x v="197"/>
    <n v="99"/>
    <s v="UPI"/>
    <s v="captured"/>
    <n v="7"/>
    <x v="25"/>
    <s v="entertainment"/>
    <s v="East"/>
    <n v="0"/>
  </r>
  <r>
    <s v="TXN100200"/>
    <n v="169"/>
    <x v="30"/>
    <x v="198"/>
    <n v="99"/>
    <s v="UPI"/>
    <s v="captured"/>
    <n v="52"/>
    <x v="30"/>
    <s v="food_delivery"/>
    <s v="North"/>
    <n v="0"/>
  </r>
  <r>
    <s v="TXN100201"/>
    <n v="217"/>
    <x v="29"/>
    <x v="199"/>
    <n v="49"/>
    <s v="UPI"/>
    <s v="captured"/>
    <n v="36"/>
    <x v="29"/>
    <s v="ecommerce"/>
    <s v="East"/>
    <n v="0"/>
  </r>
  <r>
    <s v="TXN100202"/>
    <n v="54"/>
    <x v="21"/>
    <x v="200"/>
    <n v="149"/>
    <s v="UPI"/>
    <s v="captured"/>
    <n v="64"/>
    <x v="21"/>
    <s v="entertainment"/>
    <s v="South"/>
    <n v="0"/>
  </r>
  <r>
    <s v="TXN100203"/>
    <n v="247"/>
    <x v="19"/>
    <x v="201"/>
    <n v="49"/>
    <s v="Card"/>
    <s v="captured"/>
    <n v="13"/>
    <x v="19"/>
    <s v="travel"/>
    <s v="North"/>
    <n v="0.02"/>
  </r>
  <r>
    <s v="TXN100204"/>
    <n v="59"/>
    <x v="7"/>
    <x v="202"/>
    <n v="49"/>
    <s v="Card"/>
    <s v="captured"/>
    <n v="73"/>
    <x v="7"/>
    <s v="grocery"/>
    <s v="West"/>
    <n v="0.02"/>
  </r>
  <r>
    <s v="TXN100205"/>
    <n v="288"/>
    <x v="12"/>
    <x v="203"/>
    <n v="49"/>
    <s v="UPI"/>
    <s v="failed"/>
    <n v="78"/>
    <x v="12"/>
    <s v="entertainment"/>
    <s v="South"/>
    <n v="0"/>
  </r>
  <r>
    <s v="TXN100206"/>
    <n v="14"/>
    <x v="38"/>
    <x v="204"/>
    <n v="799"/>
    <s v="UPI"/>
    <s v="captured"/>
    <n v="84"/>
    <x v="38"/>
    <s v="entertainment"/>
    <s v="North"/>
    <n v="0"/>
  </r>
  <r>
    <s v="TXN100207"/>
    <n v="15"/>
    <x v="9"/>
    <x v="205"/>
    <n v="149"/>
    <s v="UPI"/>
    <s v="captured"/>
    <n v="34"/>
    <x v="9"/>
    <s v="ecommerce"/>
    <s v="East"/>
    <n v="0"/>
  </r>
  <r>
    <s v="TXN100208"/>
    <n v="174"/>
    <x v="5"/>
    <x v="206"/>
    <n v="149"/>
    <s v="UPI"/>
    <s v="captured"/>
    <n v="0"/>
    <x v="5"/>
    <s v="travel"/>
    <s v="North"/>
    <n v="0"/>
  </r>
  <r>
    <s v="TXN100209"/>
    <n v="337"/>
    <x v="22"/>
    <x v="207"/>
    <n v="49"/>
    <s v="UPI"/>
    <s v="captured"/>
    <n v="8"/>
    <x v="22"/>
    <s v="food_delivery"/>
    <s v="East"/>
    <n v="0"/>
  </r>
  <r>
    <s v="TXN100210"/>
    <n v="16"/>
    <x v="18"/>
    <x v="208"/>
    <n v="1499"/>
    <s v="UPI"/>
    <s v="captured"/>
    <n v="95"/>
    <x v="18"/>
    <s v="food_delivery"/>
    <s v="South"/>
    <n v="0"/>
  </r>
  <r>
    <s v="TXN100211"/>
    <n v="215"/>
    <x v="24"/>
    <x v="209"/>
    <n v="49"/>
    <s v="UPI"/>
    <s v="captured"/>
    <n v="43"/>
    <x v="24"/>
    <s v="travel"/>
    <s v="West"/>
    <n v="0"/>
  </r>
  <r>
    <s v="TXN100212"/>
    <n v="167"/>
    <x v="21"/>
    <x v="210"/>
    <n v="99"/>
    <s v="UPI"/>
    <s v="captured"/>
    <n v="76"/>
    <x v="21"/>
    <s v="entertainment"/>
    <s v="South"/>
    <n v="0"/>
  </r>
  <r>
    <s v="TXN100213"/>
    <n v="81"/>
    <x v="12"/>
    <x v="211"/>
    <n v="49"/>
    <s v="UPI"/>
    <s v="captured"/>
    <n v="6"/>
    <x v="12"/>
    <s v="entertainment"/>
    <s v="South"/>
    <n v="0"/>
  </r>
  <r>
    <s v="TXN100214"/>
    <n v="227"/>
    <x v="10"/>
    <x v="212"/>
    <n v="99"/>
    <s v="UPI"/>
    <s v="captured"/>
    <n v="62"/>
    <x v="10"/>
    <s v="ecommerce"/>
    <s v="South"/>
    <n v="0"/>
  </r>
  <r>
    <s v="TXN100215"/>
    <n v="140"/>
    <x v="16"/>
    <x v="213"/>
    <n v="299"/>
    <s v="Wallet"/>
    <s v="captured"/>
    <n v="96"/>
    <x v="16"/>
    <s v="grocery"/>
    <s v="East"/>
    <n v="1.4999999999999999E-2"/>
  </r>
  <r>
    <s v="TXN100216"/>
    <n v="221"/>
    <x v="30"/>
    <x v="214"/>
    <n v="299"/>
    <s v="UPI"/>
    <s v="captured"/>
    <n v="36"/>
    <x v="30"/>
    <s v="food_delivery"/>
    <s v="North"/>
    <n v="0"/>
  </r>
  <r>
    <s v="TXN100217"/>
    <n v="250"/>
    <x v="36"/>
    <x v="215"/>
    <n v="299"/>
    <s v="Wallet"/>
    <s v="captured"/>
    <n v="85"/>
    <x v="36"/>
    <s v="travel"/>
    <s v="South"/>
    <n v="1.4999999999999999E-2"/>
  </r>
  <r>
    <s v="TXN100218"/>
    <n v="203"/>
    <x v="38"/>
    <x v="216"/>
    <n v="49"/>
    <s v="UPI"/>
    <s v="captured"/>
    <n v="7"/>
    <x v="38"/>
    <s v="entertainment"/>
    <s v="North"/>
    <n v="0"/>
  </r>
  <r>
    <s v="TXN100219"/>
    <n v="109"/>
    <x v="39"/>
    <x v="217"/>
    <n v="499"/>
    <s v="Wallet"/>
    <s v="captured"/>
    <n v="97"/>
    <x v="39"/>
    <s v="ecommerce"/>
    <s v="North"/>
    <n v="1.4999999999999999E-2"/>
  </r>
  <r>
    <s v="TXN100220"/>
    <n v="62"/>
    <x v="37"/>
    <x v="218"/>
    <n v="4999"/>
    <s v="Wallet"/>
    <s v="captured"/>
    <n v="63"/>
    <x v="37"/>
    <s v="ecommerce"/>
    <s v="South"/>
    <n v="1.4999999999999999E-2"/>
  </r>
  <r>
    <s v="TXN100221"/>
    <n v="67"/>
    <x v="14"/>
    <x v="219"/>
    <n v="49"/>
    <s v="UPI"/>
    <s v="captured"/>
    <n v="68"/>
    <x v="14"/>
    <s v="travel"/>
    <s v="South"/>
    <n v="0"/>
  </r>
  <r>
    <s v="TXN100222"/>
    <n v="287"/>
    <x v="5"/>
    <x v="220"/>
    <n v="49"/>
    <s v="UPI"/>
    <s v="captured"/>
    <n v="9"/>
    <x v="5"/>
    <s v="travel"/>
    <s v="North"/>
    <n v="0"/>
  </r>
  <r>
    <s v="TXN100223"/>
    <n v="224"/>
    <x v="27"/>
    <x v="221"/>
    <n v="49"/>
    <s v="Card"/>
    <s v="captured"/>
    <n v="58"/>
    <x v="27"/>
    <s v="grocery"/>
    <s v="West"/>
    <n v="0.02"/>
  </r>
  <r>
    <s v="TXN100224"/>
    <n v="161"/>
    <x v="21"/>
    <x v="222"/>
    <n v="299"/>
    <s v="UPI"/>
    <s v="captured"/>
    <n v="54"/>
    <x v="21"/>
    <s v="entertainment"/>
    <s v="South"/>
    <n v="0"/>
  </r>
  <r>
    <s v="TXN100225"/>
    <n v="328"/>
    <x v="1"/>
    <x v="223"/>
    <n v="49"/>
    <s v="UPI"/>
    <s v="chargeback"/>
    <n v="37"/>
    <x v="1"/>
    <s v="ecommerce"/>
    <s v="North"/>
    <n v="0"/>
  </r>
  <r>
    <s v="TXN100226"/>
    <n v="167"/>
    <x v="2"/>
    <x v="224"/>
    <n v="1499"/>
    <s v="Card"/>
    <s v="failed"/>
    <n v="79"/>
    <x v="2"/>
    <s v="ecommerce"/>
    <s v="North"/>
    <n v="0.02"/>
  </r>
  <r>
    <s v="TXN100227"/>
    <n v="186"/>
    <x v="18"/>
    <x v="225"/>
    <n v="49"/>
    <s v="Wallet"/>
    <s v="captured"/>
    <n v="55"/>
    <x v="18"/>
    <s v="food_delivery"/>
    <s v="South"/>
    <n v="1.4999999999999999E-2"/>
  </r>
  <r>
    <s v="TXN100228"/>
    <n v="224"/>
    <x v="35"/>
    <x v="226"/>
    <n v="299"/>
    <s v="Wallet"/>
    <s v="failed"/>
    <n v="51"/>
    <x v="35"/>
    <s v="grocery"/>
    <s v="East"/>
    <n v="1.4999999999999999E-2"/>
  </r>
  <r>
    <s v="TXN100229"/>
    <n v="159"/>
    <x v="3"/>
    <x v="227"/>
    <n v="799"/>
    <s v="UPI"/>
    <s v="captured"/>
    <n v="28"/>
    <x v="3"/>
    <s v="travel"/>
    <s v="South"/>
    <n v="0"/>
  </r>
  <r>
    <s v="TXN100230"/>
    <n v="262"/>
    <x v="30"/>
    <x v="228"/>
    <n v="149"/>
    <s v="UPI"/>
    <s v="captured"/>
    <n v="67"/>
    <x v="30"/>
    <s v="food_delivery"/>
    <s v="North"/>
    <n v="0"/>
  </r>
  <r>
    <s v="TXN100231"/>
    <n v="179"/>
    <x v="5"/>
    <x v="229"/>
    <n v="49"/>
    <s v="Wallet"/>
    <s v="captured"/>
    <n v="93"/>
    <x v="5"/>
    <s v="travel"/>
    <s v="North"/>
    <n v="1.4999999999999999E-2"/>
  </r>
  <r>
    <s v="TXN100232"/>
    <n v="76"/>
    <x v="0"/>
    <x v="230"/>
    <n v="299"/>
    <s v="UPI"/>
    <s v="captured"/>
    <n v="13"/>
    <x v="0"/>
    <s v="bill_payment"/>
    <s v="West"/>
    <n v="0"/>
  </r>
  <r>
    <s v="TXN100233"/>
    <n v="89"/>
    <x v="38"/>
    <x v="231"/>
    <n v="299"/>
    <s v="UPI"/>
    <s v="captured"/>
    <n v="19"/>
    <x v="38"/>
    <s v="entertainment"/>
    <s v="North"/>
    <n v="0"/>
  </r>
  <r>
    <s v="TXN100234"/>
    <n v="91"/>
    <x v="33"/>
    <x v="232"/>
    <n v="49"/>
    <s v="UPI"/>
    <s v="captured"/>
    <n v="59"/>
    <x v="33"/>
    <s v="food_delivery"/>
    <s v="West"/>
    <n v="0"/>
  </r>
  <r>
    <s v="TXN100235"/>
    <n v="297"/>
    <x v="26"/>
    <x v="233"/>
    <n v="99"/>
    <s v="Card"/>
    <s v="chargeback"/>
    <n v="87"/>
    <x v="26"/>
    <s v="ecommerce"/>
    <s v="North"/>
    <n v="0.02"/>
  </r>
  <r>
    <s v="TXN100236"/>
    <n v="326"/>
    <x v="12"/>
    <x v="234"/>
    <n v="499"/>
    <s v="Card"/>
    <s v="captured"/>
    <n v="41"/>
    <x v="12"/>
    <s v="entertainment"/>
    <s v="South"/>
    <n v="0.02"/>
  </r>
  <r>
    <s v="TXN100237"/>
    <n v="78"/>
    <x v="26"/>
    <x v="235"/>
    <n v="149"/>
    <s v="UPI"/>
    <s v="captured"/>
    <n v="8"/>
    <x v="26"/>
    <s v="ecommerce"/>
    <s v="North"/>
    <n v="0"/>
  </r>
  <r>
    <s v="TXN100238"/>
    <n v="156"/>
    <x v="7"/>
    <x v="236"/>
    <n v="2999"/>
    <s v="Card"/>
    <s v="captured"/>
    <n v="75"/>
    <x v="7"/>
    <s v="grocery"/>
    <s v="West"/>
    <n v="0.02"/>
  </r>
  <r>
    <s v="TXN100239"/>
    <n v="38"/>
    <x v="15"/>
    <x v="237"/>
    <n v="49"/>
    <s v="Wallet"/>
    <s v="failed"/>
    <n v="59"/>
    <x v="15"/>
    <s v="food_delivery"/>
    <s v="East"/>
    <n v="1.4999999999999999E-2"/>
  </r>
  <r>
    <s v="TXN100240"/>
    <n v="189"/>
    <x v="13"/>
    <x v="238"/>
    <n v="99"/>
    <s v="UPI"/>
    <s v="failed"/>
    <n v="9"/>
    <x v="13"/>
    <s v="grocery"/>
    <s v="North"/>
    <n v="0"/>
  </r>
  <r>
    <s v="TXN100241"/>
    <n v="305"/>
    <x v="11"/>
    <x v="239"/>
    <n v="299"/>
    <s v="Card"/>
    <s v="captured"/>
    <n v="49"/>
    <x v="11"/>
    <s v="bill_payment"/>
    <s v="East"/>
    <n v="0.02"/>
  </r>
  <r>
    <s v="TXN100242"/>
    <n v="22"/>
    <x v="26"/>
    <x v="240"/>
    <n v="799"/>
    <s v="UPI"/>
    <s v="captured"/>
    <n v="73"/>
    <x v="26"/>
    <s v="ecommerce"/>
    <s v="North"/>
    <n v="0"/>
  </r>
  <r>
    <s v="TXN100243"/>
    <n v="310"/>
    <x v="20"/>
    <x v="241"/>
    <n v="49"/>
    <s v="Card"/>
    <s v="captured"/>
    <n v="64"/>
    <x v="20"/>
    <s v="bill_payment"/>
    <s v="East"/>
    <n v="0.02"/>
  </r>
  <r>
    <s v="TXN100244"/>
    <n v="53"/>
    <x v="3"/>
    <x v="242"/>
    <n v="299"/>
    <s v="UPI"/>
    <s v="captured"/>
    <n v="91"/>
    <x v="3"/>
    <s v="travel"/>
    <s v="South"/>
    <n v="0"/>
  </r>
  <r>
    <s v="TXN100245"/>
    <n v="89"/>
    <x v="4"/>
    <x v="243"/>
    <n v="149"/>
    <s v="Card"/>
    <s v="captured"/>
    <n v="31"/>
    <x v="4"/>
    <s v="grocery"/>
    <s v="East"/>
    <n v="0.02"/>
  </r>
  <r>
    <s v="TXN100246"/>
    <n v="269"/>
    <x v="36"/>
    <x v="244"/>
    <n v="149"/>
    <s v="UPI"/>
    <s v="captured"/>
    <n v="78"/>
    <x v="36"/>
    <s v="travel"/>
    <s v="South"/>
    <n v="0"/>
  </r>
  <r>
    <s v="TXN100247"/>
    <n v="145"/>
    <x v="14"/>
    <x v="245"/>
    <n v="799"/>
    <s v="UPI"/>
    <s v="captured"/>
    <n v="52"/>
    <x v="14"/>
    <s v="travel"/>
    <s v="South"/>
    <n v="0"/>
  </r>
  <r>
    <s v="TXN100248"/>
    <n v="307"/>
    <x v="29"/>
    <x v="246"/>
    <n v="1499"/>
    <s v="UPI"/>
    <s v="captured"/>
    <n v="80"/>
    <x v="29"/>
    <s v="ecommerce"/>
    <s v="East"/>
    <n v="0"/>
  </r>
  <r>
    <s v="TXN100249"/>
    <n v="169"/>
    <x v="23"/>
    <x v="247"/>
    <n v="1499"/>
    <s v="Wallet"/>
    <s v="captured"/>
    <n v="71"/>
    <x v="23"/>
    <s v="food_delivery"/>
    <s v="East"/>
    <n v="1.4999999999999999E-2"/>
  </r>
  <r>
    <s v="TXN100250"/>
    <n v="130"/>
    <x v="38"/>
    <x v="248"/>
    <n v="2999"/>
    <s v="Wallet"/>
    <s v="captured"/>
    <n v="19"/>
    <x v="38"/>
    <s v="entertainment"/>
    <s v="North"/>
    <n v="1.4999999999999999E-2"/>
  </r>
  <r>
    <s v="TXN100251"/>
    <n v="340"/>
    <x v="34"/>
    <x v="249"/>
    <n v="49"/>
    <s v="Card"/>
    <s v="captured"/>
    <n v="44"/>
    <x v="34"/>
    <s v="grocery"/>
    <s v="West"/>
    <n v="0.02"/>
  </r>
  <r>
    <s v="TXN100252"/>
    <n v="340"/>
    <x v="22"/>
    <x v="250"/>
    <n v="299"/>
    <s v="Card"/>
    <s v="captured"/>
    <n v="16"/>
    <x v="22"/>
    <s v="food_delivery"/>
    <s v="East"/>
    <n v="0.02"/>
  </r>
  <r>
    <s v="TXN100253"/>
    <n v="159"/>
    <x v="25"/>
    <x v="251"/>
    <n v="49"/>
    <s v="UPI"/>
    <s v="captured"/>
    <n v="48"/>
    <x v="25"/>
    <s v="entertainment"/>
    <s v="East"/>
    <n v="0"/>
  </r>
  <r>
    <s v="TXN100254"/>
    <n v="66"/>
    <x v="36"/>
    <x v="252"/>
    <n v="799"/>
    <s v="UPI"/>
    <s v="captured"/>
    <n v="11"/>
    <x v="36"/>
    <s v="travel"/>
    <s v="South"/>
    <n v="0"/>
  </r>
  <r>
    <s v="TXN100255"/>
    <n v="261"/>
    <x v="31"/>
    <x v="253"/>
    <n v="799"/>
    <s v="Card"/>
    <s v="captured"/>
    <n v="2"/>
    <x v="31"/>
    <s v="grocery"/>
    <s v="North"/>
    <n v="0.02"/>
  </r>
  <r>
    <s v="TXN100256"/>
    <n v="110"/>
    <x v="3"/>
    <x v="254"/>
    <n v="799"/>
    <s v="UPI"/>
    <s v="captured"/>
    <n v="98"/>
    <x v="3"/>
    <s v="travel"/>
    <s v="South"/>
    <n v="0"/>
  </r>
  <r>
    <s v="TXN100257"/>
    <n v="71"/>
    <x v="34"/>
    <x v="255"/>
    <n v="49"/>
    <s v="UPI"/>
    <s v="captured"/>
    <n v="9"/>
    <x v="34"/>
    <s v="grocery"/>
    <s v="West"/>
    <n v="0"/>
  </r>
  <r>
    <s v="TXN100258"/>
    <n v="277"/>
    <x v="36"/>
    <x v="256"/>
    <n v="49"/>
    <s v="UPI"/>
    <s v="captured"/>
    <n v="4"/>
    <x v="36"/>
    <s v="travel"/>
    <s v="South"/>
    <n v="0"/>
  </r>
  <r>
    <s v="TXN100259"/>
    <n v="317"/>
    <x v="39"/>
    <x v="257"/>
    <n v="499"/>
    <s v="Wallet"/>
    <s v="captured"/>
    <n v="76"/>
    <x v="39"/>
    <s v="ecommerce"/>
    <s v="North"/>
    <n v="1.4999999999999999E-2"/>
  </r>
  <r>
    <s v="TXN100260"/>
    <n v="93"/>
    <x v="12"/>
    <x v="258"/>
    <n v="299"/>
    <s v="UPI"/>
    <s v="captured"/>
    <n v="21"/>
    <x v="12"/>
    <s v="entertainment"/>
    <s v="South"/>
    <n v="0"/>
  </r>
  <r>
    <s v="TXN100261"/>
    <n v="211"/>
    <x v="31"/>
    <x v="259"/>
    <n v="99"/>
    <s v="Netbanking"/>
    <s v="captured"/>
    <n v="86"/>
    <x v="31"/>
    <s v="grocery"/>
    <s v="North"/>
    <n v="0.01"/>
  </r>
  <r>
    <s v="TXN100262"/>
    <n v="313"/>
    <x v="13"/>
    <x v="260"/>
    <n v="149"/>
    <s v="UPI"/>
    <s v="captured"/>
    <n v="96"/>
    <x v="13"/>
    <s v="grocery"/>
    <s v="North"/>
    <n v="0"/>
  </r>
  <r>
    <s v="TXN100263"/>
    <n v="274"/>
    <x v="0"/>
    <x v="261"/>
    <n v="49"/>
    <s v="Wallet"/>
    <s v="failed"/>
    <n v="39"/>
    <x v="0"/>
    <s v="bill_payment"/>
    <s v="West"/>
    <n v="1.4999999999999999E-2"/>
  </r>
  <r>
    <s v="TXN100264"/>
    <n v="100"/>
    <x v="31"/>
    <x v="262"/>
    <n v="299"/>
    <s v="UPI"/>
    <s v="captured"/>
    <n v="86"/>
    <x v="31"/>
    <s v="grocery"/>
    <s v="North"/>
    <n v="0"/>
  </r>
  <r>
    <s v="TXN100265"/>
    <n v="145"/>
    <x v="14"/>
    <x v="263"/>
    <n v="2999"/>
    <s v="Wallet"/>
    <s v="captured"/>
    <n v="64"/>
    <x v="14"/>
    <s v="travel"/>
    <s v="South"/>
    <n v="1.4999999999999999E-2"/>
  </r>
  <r>
    <s v="TXN100266"/>
    <n v="103"/>
    <x v="38"/>
    <x v="264"/>
    <n v="2999"/>
    <s v="Wallet"/>
    <s v="captured"/>
    <n v="17"/>
    <x v="38"/>
    <s v="entertainment"/>
    <s v="North"/>
    <n v="1.4999999999999999E-2"/>
  </r>
  <r>
    <s v="TXN100267"/>
    <n v="329"/>
    <x v="20"/>
    <x v="265"/>
    <n v="299"/>
    <s v="Wallet"/>
    <s v="captured"/>
    <n v="47"/>
    <x v="20"/>
    <s v="bill_payment"/>
    <s v="East"/>
    <n v="1.4999999999999999E-2"/>
  </r>
  <r>
    <s v="TXN100268"/>
    <n v="265"/>
    <x v="30"/>
    <x v="266"/>
    <n v="499"/>
    <s v="Netbanking"/>
    <s v="captured"/>
    <n v="36"/>
    <x v="30"/>
    <s v="food_delivery"/>
    <s v="North"/>
    <n v="0.01"/>
  </r>
  <r>
    <s v="TXN100269"/>
    <n v="231"/>
    <x v="11"/>
    <x v="267"/>
    <n v="149"/>
    <s v="UPI"/>
    <s v="failed"/>
    <n v="18"/>
    <x v="11"/>
    <s v="bill_payment"/>
    <s v="East"/>
    <n v="0"/>
  </r>
  <r>
    <s v="TXN100270"/>
    <n v="114"/>
    <x v="26"/>
    <x v="268"/>
    <n v="799"/>
    <s v="UPI"/>
    <s v="chargeback"/>
    <n v="44"/>
    <x v="26"/>
    <s v="ecommerce"/>
    <s v="North"/>
    <n v="0"/>
  </r>
  <r>
    <s v="TXN100271"/>
    <n v="28"/>
    <x v="22"/>
    <x v="269"/>
    <n v="1499"/>
    <s v="UPI"/>
    <s v="failed"/>
    <n v="64"/>
    <x v="22"/>
    <s v="food_delivery"/>
    <s v="East"/>
    <n v="0"/>
  </r>
  <r>
    <s v="TXN100272"/>
    <n v="42"/>
    <x v="31"/>
    <x v="270"/>
    <n v="149"/>
    <s v="UPI"/>
    <s v="captured"/>
    <n v="28"/>
    <x v="31"/>
    <s v="grocery"/>
    <s v="North"/>
    <n v="0"/>
  </r>
  <r>
    <s v="TXN100273"/>
    <n v="51"/>
    <x v="3"/>
    <x v="271"/>
    <n v="799"/>
    <s v="UPI"/>
    <s v="captured"/>
    <n v="18"/>
    <x v="3"/>
    <s v="travel"/>
    <s v="South"/>
    <n v="0"/>
  </r>
  <r>
    <s v="TXN100274"/>
    <n v="242"/>
    <x v="39"/>
    <x v="272"/>
    <n v="149"/>
    <s v="UPI"/>
    <s v="captured"/>
    <n v="97"/>
    <x v="39"/>
    <s v="ecommerce"/>
    <s v="North"/>
    <n v="0"/>
  </r>
  <r>
    <s v="TXN100275"/>
    <n v="316"/>
    <x v="37"/>
    <x v="273"/>
    <n v="149"/>
    <s v="UPI"/>
    <s v="captured"/>
    <n v="10"/>
    <x v="37"/>
    <s v="ecommerce"/>
    <s v="South"/>
    <n v="0"/>
  </r>
  <r>
    <s v="TXN100276"/>
    <n v="77"/>
    <x v="25"/>
    <x v="274"/>
    <n v="149"/>
    <s v="UPI"/>
    <s v="captured"/>
    <n v="93"/>
    <x v="25"/>
    <s v="entertainment"/>
    <s v="East"/>
    <n v="0"/>
  </r>
  <r>
    <s v="TXN100277"/>
    <n v="57"/>
    <x v="13"/>
    <x v="275"/>
    <n v="49"/>
    <s v="UPI"/>
    <s v="captured"/>
    <n v="30"/>
    <x v="13"/>
    <s v="grocery"/>
    <s v="North"/>
    <n v="0"/>
  </r>
  <r>
    <s v="TXN100278"/>
    <n v="123"/>
    <x v="1"/>
    <x v="276"/>
    <n v="149"/>
    <s v="Netbanking"/>
    <s v="captured"/>
    <n v="81"/>
    <x v="1"/>
    <s v="ecommerce"/>
    <s v="North"/>
    <n v="0.01"/>
  </r>
  <r>
    <s v="TXN100279"/>
    <n v="33"/>
    <x v="30"/>
    <x v="277"/>
    <n v="299"/>
    <s v="Wallet"/>
    <s v="captured"/>
    <n v="63"/>
    <x v="30"/>
    <s v="food_delivery"/>
    <s v="North"/>
    <n v="1.4999999999999999E-2"/>
  </r>
  <r>
    <s v="TXN100280"/>
    <n v="324"/>
    <x v="11"/>
    <x v="278"/>
    <n v="499"/>
    <s v="UPI"/>
    <s v="captured"/>
    <n v="73"/>
    <x v="11"/>
    <s v="bill_payment"/>
    <s v="East"/>
    <n v="0"/>
  </r>
  <r>
    <s v="TXN100281"/>
    <n v="150"/>
    <x v="10"/>
    <x v="279"/>
    <n v="49"/>
    <s v="UPI"/>
    <s v="failed"/>
    <n v="0"/>
    <x v="10"/>
    <s v="ecommerce"/>
    <s v="South"/>
    <n v="0"/>
  </r>
  <r>
    <s v="TXN100282"/>
    <n v="293"/>
    <x v="1"/>
    <x v="280"/>
    <n v="4999"/>
    <s v="UPI"/>
    <s v="captured"/>
    <n v="23"/>
    <x v="1"/>
    <s v="ecommerce"/>
    <s v="North"/>
    <n v="0"/>
  </r>
  <r>
    <s v="TXN100283"/>
    <n v="269"/>
    <x v="31"/>
    <x v="281"/>
    <n v="49"/>
    <s v="Wallet"/>
    <s v="captured"/>
    <n v="8"/>
    <x v="31"/>
    <s v="grocery"/>
    <s v="North"/>
    <n v="1.4999999999999999E-2"/>
  </r>
  <r>
    <s v="TXN100284"/>
    <n v="260"/>
    <x v="25"/>
    <x v="282"/>
    <n v="1499"/>
    <s v="UPI"/>
    <s v="captured"/>
    <n v="2"/>
    <x v="25"/>
    <s v="entertainment"/>
    <s v="East"/>
    <n v="0"/>
  </r>
  <r>
    <s v="TXN100285"/>
    <n v="326"/>
    <x v="14"/>
    <x v="283"/>
    <n v="49"/>
    <s v="UPI"/>
    <s v="captured"/>
    <n v="47"/>
    <x v="14"/>
    <s v="travel"/>
    <s v="South"/>
    <n v="0"/>
  </r>
  <r>
    <s v="TXN100286"/>
    <n v="183"/>
    <x v="32"/>
    <x v="284"/>
    <n v="49"/>
    <s v="Card"/>
    <s v="captured"/>
    <n v="44"/>
    <x v="32"/>
    <s v="recharge"/>
    <s v="South"/>
    <n v="0.02"/>
  </r>
  <r>
    <s v="TXN100287"/>
    <n v="322"/>
    <x v="23"/>
    <x v="285"/>
    <n v="299"/>
    <s v="UPI"/>
    <s v="captured"/>
    <n v="98"/>
    <x v="23"/>
    <s v="food_delivery"/>
    <s v="East"/>
    <n v="0"/>
  </r>
  <r>
    <s v="TXN100288"/>
    <n v="171"/>
    <x v="39"/>
    <x v="286"/>
    <n v="299"/>
    <s v="UPI"/>
    <s v="captured"/>
    <n v="5"/>
    <x v="39"/>
    <s v="ecommerce"/>
    <s v="North"/>
    <n v="0"/>
  </r>
  <r>
    <s v="TXN100289"/>
    <n v="330"/>
    <x v="9"/>
    <x v="287"/>
    <n v="1499"/>
    <s v="Netbanking"/>
    <s v="captured"/>
    <n v="99"/>
    <x v="9"/>
    <s v="ecommerce"/>
    <s v="East"/>
    <n v="0.01"/>
  </r>
  <r>
    <s v="TXN100290"/>
    <n v="246"/>
    <x v="9"/>
    <x v="288"/>
    <n v="99"/>
    <s v="Wallet"/>
    <s v="captured"/>
    <n v="17"/>
    <x v="9"/>
    <s v="ecommerce"/>
    <s v="East"/>
    <n v="1.4999999999999999E-2"/>
  </r>
  <r>
    <s v="TXN100291"/>
    <n v="235"/>
    <x v="4"/>
    <x v="289"/>
    <n v="49"/>
    <s v="UPI"/>
    <s v="captured"/>
    <n v="37"/>
    <x v="4"/>
    <s v="grocery"/>
    <s v="East"/>
    <n v="0"/>
  </r>
  <r>
    <s v="TXN100292"/>
    <n v="103"/>
    <x v="4"/>
    <x v="290"/>
    <n v="499"/>
    <s v="UPI"/>
    <s v="captured"/>
    <n v="40"/>
    <x v="4"/>
    <s v="grocery"/>
    <s v="East"/>
    <n v="0"/>
  </r>
  <r>
    <s v="TXN100293"/>
    <n v="204"/>
    <x v="8"/>
    <x v="291"/>
    <n v="99"/>
    <s v="Wallet"/>
    <s v="captured"/>
    <n v="60"/>
    <x v="8"/>
    <s v="recharge"/>
    <s v="East"/>
    <n v="1.4999999999999999E-2"/>
  </r>
  <r>
    <s v="TXN100294"/>
    <n v="332"/>
    <x v="6"/>
    <x v="292"/>
    <n v="49"/>
    <s v="Card"/>
    <s v="captured"/>
    <n v="36"/>
    <x v="6"/>
    <s v="travel"/>
    <s v="East"/>
    <n v="0.02"/>
  </r>
  <r>
    <s v="TXN100295"/>
    <n v="336"/>
    <x v="3"/>
    <x v="293"/>
    <n v="499"/>
    <s v="UPI"/>
    <s v="captured"/>
    <n v="34"/>
    <x v="3"/>
    <s v="travel"/>
    <s v="South"/>
    <n v="0"/>
  </r>
  <r>
    <s v="TXN100296"/>
    <n v="205"/>
    <x v="26"/>
    <x v="294"/>
    <n v="99"/>
    <s v="Wallet"/>
    <s v="captured"/>
    <n v="49"/>
    <x v="26"/>
    <s v="ecommerce"/>
    <s v="North"/>
    <n v="1.4999999999999999E-2"/>
  </r>
  <r>
    <s v="TXN100297"/>
    <n v="255"/>
    <x v="31"/>
    <x v="295"/>
    <n v="799"/>
    <s v="UPI"/>
    <s v="captured"/>
    <n v="66"/>
    <x v="31"/>
    <s v="grocery"/>
    <s v="North"/>
    <n v="0"/>
  </r>
  <r>
    <s v="TXN100298"/>
    <n v="218"/>
    <x v="18"/>
    <x v="296"/>
    <n v="99"/>
    <s v="UPI"/>
    <s v="captured"/>
    <n v="55"/>
    <x v="18"/>
    <s v="food_delivery"/>
    <s v="South"/>
    <n v="0"/>
  </r>
  <r>
    <s v="TXN100299"/>
    <n v="151"/>
    <x v="17"/>
    <x v="297"/>
    <n v="49"/>
    <s v="UPI"/>
    <s v="captured"/>
    <n v="13"/>
    <x v="17"/>
    <s v="food_delivery"/>
    <s v="East"/>
    <n v="0"/>
  </r>
  <r>
    <s v="TXN100300"/>
    <n v="152"/>
    <x v="15"/>
    <x v="298"/>
    <n v="49"/>
    <s v="UPI"/>
    <s v="captured"/>
    <n v="57"/>
    <x v="15"/>
    <s v="food_delivery"/>
    <s v="East"/>
    <n v="0"/>
  </r>
  <r>
    <s v="TXN100301"/>
    <n v="86"/>
    <x v="26"/>
    <x v="299"/>
    <n v="149"/>
    <s v="Card"/>
    <s v="captured"/>
    <n v="44"/>
    <x v="26"/>
    <s v="ecommerce"/>
    <s v="North"/>
    <n v="0.02"/>
  </r>
  <r>
    <s v="TXN100302"/>
    <n v="181"/>
    <x v="12"/>
    <x v="300"/>
    <n v="149"/>
    <s v="UPI"/>
    <s v="captured"/>
    <n v="55"/>
    <x v="12"/>
    <s v="entertainment"/>
    <s v="South"/>
    <n v="0"/>
  </r>
  <r>
    <s v="TXN100303"/>
    <n v="30"/>
    <x v="32"/>
    <x v="301"/>
    <n v="299"/>
    <s v="UPI"/>
    <s v="captured"/>
    <n v="85"/>
    <x v="32"/>
    <s v="recharge"/>
    <s v="South"/>
    <n v="0"/>
  </r>
  <r>
    <s v="TXN100304"/>
    <n v="263"/>
    <x v="2"/>
    <x v="302"/>
    <n v="149"/>
    <s v="Wallet"/>
    <s v="captured"/>
    <n v="3"/>
    <x v="2"/>
    <s v="ecommerce"/>
    <s v="North"/>
    <n v="1.4999999999999999E-2"/>
  </r>
  <r>
    <s v="TXN100305"/>
    <n v="225"/>
    <x v="4"/>
    <x v="303"/>
    <n v="99"/>
    <s v="Netbanking"/>
    <s v="captured"/>
    <n v="16"/>
    <x v="4"/>
    <s v="grocery"/>
    <s v="East"/>
    <n v="0.01"/>
  </r>
  <r>
    <s v="TXN100306"/>
    <n v="331"/>
    <x v="31"/>
    <x v="304"/>
    <n v="49"/>
    <s v="Card"/>
    <s v="captured"/>
    <n v="46"/>
    <x v="31"/>
    <s v="grocery"/>
    <s v="North"/>
    <n v="0.02"/>
  </r>
  <r>
    <s v="TXN100307"/>
    <n v="310"/>
    <x v="34"/>
    <x v="305"/>
    <n v="1499"/>
    <s v="Card"/>
    <s v="captured"/>
    <n v="86"/>
    <x v="34"/>
    <s v="grocery"/>
    <s v="West"/>
    <n v="0.02"/>
  </r>
  <r>
    <s v="TXN100308"/>
    <n v="228"/>
    <x v="32"/>
    <x v="306"/>
    <n v="49"/>
    <s v="UPI"/>
    <s v="captured"/>
    <n v="73"/>
    <x v="32"/>
    <s v="recharge"/>
    <s v="South"/>
    <n v="0"/>
  </r>
  <r>
    <s v="TXN100309"/>
    <n v="204"/>
    <x v="17"/>
    <x v="307"/>
    <n v="499"/>
    <s v="UPI"/>
    <s v="captured"/>
    <n v="83"/>
    <x v="17"/>
    <s v="food_delivery"/>
    <s v="East"/>
    <n v="0"/>
  </r>
  <r>
    <s v="TXN100310"/>
    <n v="14"/>
    <x v="9"/>
    <x v="79"/>
    <n v="799"/>
    <s v="Netbanking"/>
    <s v="captured"/>
    <n v="63"/>
    <x v="9"/>
    <s v="ecommerce"/>
    <s v="East"/>
    <n v="0.01"/>
  </r>
  <r>
    <s v="TXN100311"/>
    <n v="288"/>
    <x v="30"/>
    <x v="308"/>
    <n v="49"/>
    <s v="UPI"/>
    <s v="captured"/>
    <n v="33"/>
    <x v="30"/>
    <s v="food_delivery"/>
    <s v="North"/>
    <n v="0"/>
  </r>
  <r>
    <s v="TXN100312"/>
    <n v="229"/>
    <x v="16"/>
    <x v="309"/>
    <n v="1499"/>
    <s v="UPI"/>
    <s v="captured"/>
    <n v="78"/>
    <x v="16"/>
    <s v="grocery"/>
    <s v="East"/>
    <n v="0"/>
  </r>
  <r>
    <s v="TXN100313"/>
    <n v="252"/>
    <x v="6"/>
    <x v="310"/>
    <n v="99"/>
    <s v="Wallet"/>
    <s v="captured"/>
    <n v="15"/>
    <x v="6"/>
    <s v="travel"/>
    <s v="East"/>
    <n v="1.4999999999999999E-2"/>
  </r>
  <r>
    <s v="TXN100314"/>
    <n v="89"/>
    <x v="26"/>
    <x v="311"/>
    <n v="799"/>
    <s v="UPI"/>
    <s v="captured"/>
    <n v="11"/>
    <x v="26"/>
    <s v="ecommerce"/>
    <s v="North"/>
    <n v="0"/>
  </r>
  <r>
    <s v="TXN100315"/>
    <n v="164"/>
    <x v="5"/>
    <x v="312"/>
    <n v="49"/>
    <s v="Netbanking"/>
    <s v="captured"/>
    <n v="90"/>
    <x v="5"/>
    <s v="travel"/>
    <s v="North"/>
    <n v="0.01"/>
  </r>
  <r>
    <s v="TXN100316"/>
    <n v="149"/>
    <x v="15"/>
    <x v="313"/>
    <n v="299"/>
    <s v="Wallet"/>
    <s v="captured"/>
    <n v="20"/>
    <x v="15"/>
    <s v="food_delivery"/>
    <s v="East"/>
    <n v="1.4999999999999999E-2"/>
  </r>
  <r>
    <s v="TXN100317"/>
    <n v="327"/>
    <x v="9"/>
    <x v="314"/>
    <n v="49"/>
    <s v="Netbanking"/>
    <s v="captured"/>
    <n v="46"/>
    <x v="9"/>
    <s v="ecommerce"/>
    <s v="East"/>
    <n v="0.01"/>
  </r>
  <r>
    <s v="TXN100318"/>
    <n v="103"/>
    <x v="39"/>
    <x v="315"/>
    <n v="149"/>
    <s v="UPI"/>
    <s v="captured"/>
    <n v="30"/>
    <x v="39"/>
    <s v="ecommerce"/>
    <s v="North"/>
    <n v="0"/>
  </r>
  <r>
    <s v="TXN100319"/>
    <n v="185"/>
    <x v="25"/>
    <x v="316"/>
    <n v="49"/>
    <s v="Wallet"/>
    <s v="captured"/>
    <n v="73"/>
    <x v="25"/>
    <s v="entertainment"/>
    <s v="East"/>
    <n v="1.4999999999999999E-2"/>
  </r>
  <r>
    <s v="TXN100320"/>
    <n v="283"/>
    <x v="39"/>
    <x v="317"/>
    <n v="299"/>
    <s v="UPI"/>
    <s v="captured"/>
    <n v="78"/>
    <x v="39"/>
    <s v="ecommerce"/>
    <s v="North"/>
    <n v="0"/>
  </r>
  <r>
    <s v="TXN100321"/>
    <n v="159"/>
    <x v="22"/>
    <x v="318"/>
    <n v="99"/>
    <s v="UPI"/>
    <s v="captured"/>
    <n v="91"/>
    <x v="22"/>
    <s v="food_delivery"/>
    <s v="East"/>
    <n v="0"/>
  </r>
  <r>
    <s v="TXN100322"/>
    <n v="211"/>
    <x v="1"/>
    <x v="319"/>
    <n v="99"/>
    <s v="Wallet"/>
    <s v="captured"/>
    <n v="73"/>
    <x v="1"/>
    <s v="ecommerce"/>
    <s v="North"/>
    <n v="1.4999999999999999E-2"/>
  </r>
  <r>
    <s v="TXN100323"/>
    <n v="329"/>
    <x v="32"/>
    <x v="320"/>
    <n v="499"/>
    <s v="Netbanking"/>
    <s v="captured"/>
    <n v="57"/>
    <x v="32"/>
    <s v="recharge"/>
    <s v="South"/>
    <n v="0.01"/>
  </r>
  <r>
    <s v="TXN100324"/>
    <n v="177"/>
    <x v="39"/>
    <x v="321"/>
    <n v="99"/>
    <s v="UPI"/>
    <s v="captured"/>
    <n v="99"/>
    <x v="39"/>
    <s v="ecommerce"/>
    <s v="North"/>
    <n v="0"/>
  </r>
  <r>
    <s v="TXN100325"/>
    <n v="94"/>
    <x v="39"/>
    <x v="322"/>
    <n v="299"/>
    <s v="UPI"/>
    <s v="captured"/>
    <n v="55"/>
    <x v="39"/>
    <s v="ecommerce"/>
    <s v="North"/>
    <n v="0"/>
  </r>
  <r>
    <s v="TXN100326"/>
    <n v="64"/>
    <x v="36"/>
    <x v="323"/>
    <n v="299"/>
    <s v="UPI"/>
    <s v="captured"/>
    <n v="19"/>
    <x v="36"/>
    <s v="travel"/>
    <s v="South"/>
    <n v="0"/>
  </r>
  <r>
    <s v="TXN100327"/>
    <n v="166"/>
    <x v="19"/>
    <x v="324"/>
    <n v="49"/>
    <s v="UPI"/>
    <s v="captured"/>
    <n v="44"/>
    <x v="19"/>
    <s v="travel"/>
    <s v="North"/>
    <n v="0"/>
  </r>
  <r>
    <s v="TXN100328"/>
    <n v="41"/>
    <x v="28"/>
    <x v="325"/>
    <n v="299"/>
    <s v="Wallet"/>
    <s v="captured"/>
    <n v="25"/>
    <x v="28"/>
    <s v="grocery"/>
    <s v="North"/>
    <n v="1.4999999999999999E-2"/>
  </r>
  <r>
    <s v="TXN100329"/>
    <n v="65"/>
    <x v="15"/>
    <x v="326"/>
    <n v="99"/>
    <s v="Card"/>
    <s v="captured"/>
    <n v="78"/>
    <x v="15"/>
    <s v="food_delivery"/>
    <s v="East"/>
    <n v="0.02"/>
  </r>
  <r>
    <s v="TXN100330"/>
    <n v="329"/>
    <x v="2"/>
    <x v="327"/>
    <n v="499"/>
    <s v="UPI"/>
    <s v="captured"/>
    <n v="75"/>
    <x v="2"/>
    <s v="ecommerce"/>
    <s v="North"/>
    <n v="0"/>
  </r>
  <r>
    <s v="TXN100331"/>
    <n v="338"/>
    <x v="12"/>
    <x v="328"/>
    <n v="149"/>
    <s v="UPI"/>
    <s v="captured"/>
    <n v="92"/>
    <x v="12"/>
    <s v="entertainment"/>
    <s v="South"/>
    <n v="0"/>
  </r>
  <r>
    <s v="TXN100332"/>
    <n v="289"/>
    <x v="4"/>
    <x v="329"/>
    <n v="49"/>
    <s v="Netbanking"/>
    <s v="captured"/>
    <n v="3"/>
    <x v="4"/>
    <s v="grocery"/>
    <s v="East"/>
    <n v="0.01"/>
  </r>
  <r>
    <s v="TXN100333"/>
    <n v="296"/>
    <x v="28"/>
    <x v="330"/>
    <n v="99"/>
    <s v="UPI"/>
    <s v="captured"/>
    <n v="83"/>
    <x v="28"/>
    <s v="grocery"/>
    <s v="North"/>
    <n v="0"/>
  </r>
  <r>
    <s v="TXN100334"/>
    <n v="317"/>
    <x v="27"/>
    <x v="331"/>
    <n v="499"/>
    <s v="Card"/>
    <s v="captured"/>
    <n v="63"/>
    <x v="27"/>
    <s v="grocery"/>
    <s v="West"/>
    <n v="0.02"/>
  </r>
  <r>
    <s v="TXN100335"/>
    <n v="149"/>
    <x v="15"/>
    <x v="332"/>
    <n v="499"/>
    <s v="Card"/>
    <s v="captured"/>
    <n v="61"/>
    <x v="15"/>
    <s v="food_delivery"/>
    <s v="East"/>
    <n v="0.02"/>
  </r>
  <r>
    <s v="TXN100336"/>
    <n v="153"/>
    <x v="24"/>
    <x v="333"/>
    <n v="299"/>
    <s v="UPI"/>
    <s v="captured"/>
    <n v="9"/>
    <x v="24"/>
    <s v="travel"/>
    <s v="West"/>
    <n v="0"/>
  </r>
  <r>
    <s v="TXN100337"/>
    <n v="226"/>
    <x v="1"/>
    <x v="334"/>
    <n v="2999"/>
    <s v="UPI"/>
    <s v="chargeback"/>
    <n v="61"/>
    <x v="1"/>
    <s v="ecommerce"/>
    <s v="North"/>
    <n v="0"/>
  </r>
  <r>
    <s v="TXN100338"/>
    <n v="311"/>
    <x v="34"/>
    <x v="335"/>
    <n v="2999"/>
    <s v="UPI"/>
    <s v="captured"/>
    <n v="40"/>
    <x v="34"/>
    <s v="grocery"/>
    <s v="West"/>
    <n v="0"/>
  </r>
  <r>
    <s v="TXN100339"/>
    <n v="177"/>
    <x v="22"/>
    <x v="336"/>
    <n v="1499"/>
    <s v="UPI"/>
    <s v="captured"/>
    <n v="16"/>
    <x v="22"/>
    <s v="food_delivery"/>
    <s v="East"/>
    <n v="0"/>
  </r>
  <r>
    <s v="TXN100340"/>
    <n v="288"/>
    <x v="23"/>
    <x v="337"/>
    <n v="99"/>
    <s v="Netbanking"/>
    <s v="captured"/>
    <n v="40"/>
    <x v="23"/>
    <s v="food_delivery"/>
    <s v="East"/>
    <n v="0.01"/>
  </r>
  <r>
    <s v="TXN100341"/>
    <n v="137"/>
    <x v="26"/>
    <x v="338"/>
    <n v="2999"/>
    <s v="UPI"/>
    <s v="failed"/>
    <n v="31"/>
    <x v="26"/>
    <s v="ecommerce"/>
    <s v="North"/>
    <n v="0"/>
  </r>
  <r>
    <s v="TXN100342"/>
    <n v="149"/>
    <x v="14"/>
    <x v="339"/>
    <n v="1499"/>
    <s v="UPI"/>
    <s v="captured"/>
    <n v="78"/>
    <x v="14"/>
    <s v="travel"/>
    <s v="South"/>
    <n v="0"/>
  </r>
  <r>
    <s v="TXN100343"/>
    <n v="82"/>
    <x v="17"/>
    <x v="340"/>
    <n v="49"/>
    <s v="Wallet"/>
    <s v="captured"/>
    <n v="73"/>
    <x v="17"/>
    <s v="food_delivery"/>
    <s v="East"/>
    <n v="1.4999999999999999E-2"/>
  </r>
  <r>
    <s v="TXN100344"/>
    <n v="82"/>
    <x v="33"/>
    <x v="341"/>
    <n v="49"/>
    <s v="UPI"/>
    <s v="captured"/>
    <n v="65"/>
    <x v="33"/>
    <s v="food_delivery"/>
    <s v="West"/>
    <n v="0"/>
  </r>
  <r>
    <s v="TXN100345"/>
    <n v="158"/>
    <x v="33"/>
    <x v="342"/>
    <n v="99"/>
    <s v="Wallet"/>
    <s v="captured"/>
    <n v="2"/>
    <x v="33"/>
    <s v="food_delivery"/>
    <s v="West"/>
    <n v="1.4999999999999999E-2"/>
  </r>
  <r>
    <s v="TXN100346"/>
    <n v="235"/>
    <x v="0"/>
    <x v="343"/>
    <n v="99"/>
    <s v="UPI"/>
    <s v="captured"/>
    <n v="27"/>
    <x v="0"/>
    <s v="bill_payment"/>
    <s v="West"/>
    <n v="0"/>
  </r>
  <r>
    <s v="TXN100347"/>
    <n v="26"/>
    <x v="13"/>
    <x v="344"/>
    <n v="99"/>
    <s v="Wallet"/>
    <s v="captured"/>
    <n v="63"/>
    <x v="13"/>
    <s v="grocery"/>
    <s v="North"/>
    <n v="1.4999999999999999E-2"/>
  </r>
  <r>
    <s v="TXN100348"/>
    <n v="241"/>
    <x v="13"/>
    <x v="345"/>
    <n v="299"/>
    <s v="UPI"/>
    <s v="captured"/>
    <n v="68"/>
    <x v="13"/>
    <s v="grocery"/>
    <s v="North"/>
    <n v="0"/>
  </r>
  <r>
    <s v="TXN100349"/>
    <n v="69"/>
    <x v="28"/>
    <x v="346"/>
    <n v="1499"/>
    <s v="UPI"/>
    <s v="captured"/>
    <n v="93"/>
    <x v="28"/>
    <s v="grocery"/>
    <s v="North"/>
    <n v="0"/>
  </r>
  <r>
    <s v="TXN100350"/>
    <n v="24"/>
    <x v="22"/>
    <x v="347"/>
    <n v="299"/>
    <s v="Netbanking"/>
    <s v="captured"/>
    <n v="6"/>
    <x v="22"/>
    <s v="food_delivery"/>
    <s v="East"/>
    <n v="0.01"/>
  </r>
  <r>
    <s v="TXN100351"/>
    <n v="186"/>
    <x v="25"/>
    <x v="348"/>
    <n v="4999"/>
    <s v="UPI"/>
    <s v="captured"/>
    <n v="36"/>
    <x v="25"/>
    <s v="entertainment"/>
    <s v="East"/>
    <n v="0"/>
  </r>
  <r>
    <s v="TXN100352"/>
    <n v="231"/>
    <x v="25"/>
    <x v="343"/>
    <n v="149"/>
    <s v="UPI"/>
    <s v="captured"/>
    <n v="35"/>
    <x v="25"/>
    <s v="entertainment"/>
    <s v="East"/>
    <n v="0"/>
  </r>
  <r>
    <s v="TXN100353"/>
    <n v="313"/>
    <x v="30"/>
    <x v="349"/>
    <n v="1499"/>
    <s v="Netbanking"/>
    <s v="captured"/>
    <n v="16"/>
    <x v="30"/>
    <s v="food_delivery"/>
    <s v="North"/>
    <n v="0.01"/>
  </r>
  <r>
    <s v="TXN100354"/>
    <n v="174"/>
    <x v="25"/>
    <x v="350"/>
    <n v="149"/>
    <s v="UPI"/>
    <s v="captured"/>
    <n v="46"/>
    <x v="25"/>
    <s v="entertainment"/>
    <s v="East"/>
    <n v="0"/>
  </r>
  <r>
    <s v="TXN100355"/>
    <n v="309"/>
    <x v="11"/>
    <x v="351"/>
    <n v="99"/>
    <s v="UPI"/>
    <s v="captured"/>
    <n v="51"/>
    <x v="11"/>
    <s v="bill_payment"/>
    <s v="East"/>
    <n v="0"/>
  </r>
  <r>
    <s v="TXN100356"/>
    <n v="20"/>
    <x v="39"/>
    <x v="352"/>
    <n v="99"/>
    <s v="UPI"/>
    <s v="captured"/>
    <n v="91"/>
    <x v="39"/>
    <s v="ecommerce"/>
    <s v="North"/>
    <n v="0"/>
  </r>
  <r>
    <s v="TXN100357"/>
    <n v="234"/>
    <x v="34"/>
    <x v="353"/>
    <n v="49"/>
    <s v="UPI"/>
    <s v="captured"/>
    <n v="77"/>
    <x v="34"/>
    <s v="grocery"/>
    <s v="West"/>
    <n v="0"/>
  </r>
  <r>
    <s v="TXN100358"/>
    <n v="168"/>
    <x v="12"/>
    <x v="354"/>
    <n v="149"/>
    <s v="UPI"/>
    <s v="chargeback"/>
    <n v="40"/>
    <x v="12"/>
    <s v="entertainment"/>
    <s v="South"/>
    <n v="0"/>
  </r>
  <r>
    <s v="TXN100359"/>
    <n v="154"/>
    <x v="35"/>
    <x v="355"/>
    <n v="99"/>
    <s v="Netbanking"/>
    <s v="captured"/>
    <n v="43"/>
    <x v="35"/>
    <s v="grocery"/>
    <s v="East"/>
    <n v="0.01"/>
  </r>
  <r>
    <s v="TXN100360"/>
    <n v="251"/>
    <x v="21"/>
    <x v="356"/>
    <n v="49"/>
    <s v="UPI"/>
    <s v="captured"/>
    <n v="38"/>
    <x v="21"/>
    <s v="entertainment"/>
    <s v="South"/>
    <n v="0"/>
  </r>
  <r>
    <s v="TXN100361"/>
    <n v="170"/>
    <x v="30"/>
    <x v="357"/>
    <n v="2999"/>
    <s v="UPI"/>
    <s v="captured"/>
    <n v="53"/>
    <x v="30"/>
    <s v="food_delivery"/>
    <s v="North"/>
    <n v="0"/>
  </r>
  <r>
    <s v="TXN100362"/>
    <n v="323"/>
    <x v="27"/>
    <x v="358"/>
    <n v="49"/>
    <s v="Netbanking"/>
    <s v="captured"/>
    <n v="76"/>
    <x v="27"/>
    <s v="grocery"/>
    <s v="West"/>
    <n v="0.01"/>
  </r>
  <r>
    <s v="TXN100363"/>
    <n v="297"/>
    <x v="21"/>
    <x v="359"/>
    <n v="2999"/>
    <s v="Wallet"/>
    <s v="captured"/>
    <n v="29"/>
    <x v="21"/>
    <s v="entertainment"/>
    <s v="South"/>
    <n v="1.4999999999999999E-2"/>
  </r>
  <r>
    <s v="TXN100364"/>
    <n v="246"/>
    <x v="2"/>
    <x v="360"/>
    <n v="299"/>
    <s v="UPI"/>
    <s v="captured"/>
    <n v="67"/>
    <x v="2"/>
    <s v="ecommerce"/>
    <s v="North"/>
    <n v="0"/>
  </r>
  <r>
    <s v="TXN100365"/>
    <n v="195"/>
    <x v="34"/>
    <x v="361"/>
    <n v="99"/>
    <s v="UPI"/>
    <s v="captured"/>
    <n v="87"/>
    <x v="34"/>
    <s v="grocery"/>
    <s v="West"/>
    <n v="0"/>
  </r>
  <r>
    <s v="TXN100366"/>
    <n v="57"/>
    <x v="6"/>
    <x v="362"/>
    <n v="149"/>
    <s v="UPI"/>
    <s v="captured"/>
    <n v="2"/>
    <x v="6"/>
    <s v="travel"/>
    <s v="East"/>
    <n v="0"/>
  </r>
  <r>
    <s v="TXN100367"/>
    <n v="78"/>
    <x v="1"/>
    <x v="363"/>
    <n v="1499"/>
    <s v="Netbanking"/>
    <s v="failed"/>
    <n v="88"/>
    <x v="1"/>
    <s v="ecommerce"/>
    <s v="North"/>
    <n v="0.01"/>
  </r>
  <r>
    <s v="TXN100368"/>
    <n v="314"/>
    <x v="20"/>
    <x v="364"/>
    <n v="49"/>
    <s v="UPI"/>
    <s v="chargeback"/>
    <n v="94"/>
    <x v="20"/>
    <s v="bill_payment"/>
    <s v="East"/>
    <n v="0"/>
  </r>
  <r>
    <s v="TXN100369"/>
    <n v="71"/>
    <x v="36"/>
    <x v="365"/>
    <n v="499"/>
    <s v="UPI"/>
    <s v="captured"/>
    <n v="26"/>
    <x v="36"/>
    <s v="travel"/>
    <s v="South"/>
    <n v="0"/>
  </r>
  <r>
    <s v="TXN100370"/>
    <n v="245"/>
    <x v="36"/>
    <x v="366"/>
    <n v="99"/>
    <s v="UPI"/>
    <s v="captured"/>
    <n v="48"/>
    <x v="36"/>
    <s v="travel"/>
    <s v="South"/>
    <n v="0"/>
  </r>
  <r>
    <s v="TXN100371"/>
    <n v="273"/>
    <x v="3"/>
    <x v="367"/>
    <n v="299"/>
    <s v="Wallet"/>
    <s v="captured"/>
    <n v="69"/>
    <x v="3"/>
    <s v="travel"/>
    <s v="South"/>
    <n v="1.4999999999999999E-2"/>
  </r>
  <r>
    <s v="TXN100372"/>
    <n v="349"/>
    <x v="28"/>
    <x v="368"/>
    <n v="1499"/>
    <s v="UPI"/>
    <s v="captured"/>
    <n v="78"/>
    <x v="28"/>
    <s v="grocery"/>
    <s v="North"/>
    <n v="0"/>
  </r>
  <r>
    <s v="TXN100373"/>
    <n v="143"/>
    <x v="25"/>
    <x v="369"/>
    <n v="1499"/>
    <s v="Netbanking"/>
    <s v="captured"/>
    <n v="38"/>
    <x v="25"/>
    <s v="entertainment"/>
    <s v="East"/>
    <n v="0.01"/>
  </r>
  <r>
    <s v="TXN100374"/>
    <n v="148"/>
    <x v="16"/>
    <x v="370"/>
    <n v="799"/>
    <s v="Wallet"/>
    <s v="captured"/>
    <n v="88"/>
    <x v="16"/>
    <s v="grocery"/>
    <s v="East"/>
    <n v="1.4999999999999999E-2"/>
  </r>
  <r>
    <s v="TXN100375"/>
    <n v="246"/>
    <x v="5"/>
    <x v="371"/>
    <n v="49"/>
    <s v="UPI"/>
    <s v="captured"/>
    <n v="71"/>
    <x v="5"/>
    <s v="travel"/>
    <s v="North"/>
    <n v="0"/>
  </r>
  <r>
    <s v="TXN100376"/>
    <n v="148"/>
    <x v="30"/>
    <x v="372"/>
    <n v="99"/>
    <s v="Wallet"/>
    <s v="captured"/>
    <n v="73"/>
    <x v="30"/>
    <s v="food_delivery"/>
    <s v="North"/>
    <n v="1.4999999999999999E-2"/>
  </r>
  <r>
    <s v="TXN100377"/>
    <n v="203"/>
    <x v="5"/>
    <x v="373"/>
    <n v="49"/>
    <s v="UPI"/>
    <s v="captured"/>
    <n v="98"/>
    <x v="5"/>
    <s v="travel"/>
    <s v="North"/>
    <n v="0"/>
  </r>
  <r>
    <s v="TXN100378"/>
    <n v="22"/>
    <x v="13"/>
    <x v="374"/>
    <n v="49"/>
    <s v="Card"/>
    <s v="captured"/>
    <n v="91"/>
    <x v="13"/>
    <s v="grocery"/>
    <s v="North"/>
    <n v="0.02"/>
  </r>
  <r>
    <s v="TXN100379"/>
    <n v="227"/>
    <x v="28"/>
    <x v="375"/>
    <n v="299"/>
    <s v="Wallet"/>
    <s v="captured"/>
    <n v="95"/>
    <x v="28"/>
    <s v="grocery"/>
    <s v="North"/>
    <n v="1.4999999999999999E-2"/>
  </r>
  <r>
    <s v="TXN100380"/>
    <n v="276"/>
    <x v="7"/>
    <x v="376"/>
    <n v="149"/>
    <s v="Wallet"/>
    <s v="captured"/>
    <n v="71"/>
    <x v="7"/>
    <s v="grocery"/>
    <s v="West"/>
    <n v="1.4999999999999999E-2"/>
  </r>
  <r>
    <s v="TXN100381"/>
    <n v="56"/>
    <x v="12"/>
    <x v="377"/>
    <n v="99"/>
    <s v="Card"/>
    <s v="captured"/>
    <n v="94"/>
    <x v="12"/>
    <s v="entertainment"/>
    <s v="South"/>
    <n v="0.02"/>
  </r>
  <r>
    <s v="TXN100382"/>
    <n v="26"/>
    <x v="36"/>
    <x v="378"/>
    <n v="499"/>
    <s v="Card"/>
    <s v="captured"/>
    <n v="28"/>
    <x v="36"/>
    <s v="travel"/>
    <s v="South"/>
    <n v="0.02"/>
  </r>
  <r>
    <s v="TXN100383"/>
    <n v="52"/>
    <x v="1"/>
    <x v="379"/>
    <n v="499"/>
    <s v="Card"/>
    <s v="captured"/>
    <n v="42"/>
    <x v="1"/>
    <s v="ecommerce"/>
    <s v="North"/>
    <n v="0.02"/>
  </r>
  <r>
    <s v="TXN100384"/>
    <n v="349"/>
    <x v="39"/>
    <x v="380"/>
    <n v="499"/>
    <s v="Wallet"/>
    <s v="captured"/>
    <n v="0"/>
    <x v="39"/>
    <s v="ecommerce"/>
    <s v="North"/>
    <n v="1.4999999999999999E-2"/>
  </r>
  <r>
    <s v="TXN100385"/>
    <n v="335"/>
    <x v="20"/>
    <x v="381"/>
    <n v="49"/>
    <s v="Card"/>
    <s v="captured"/>
    <n v="61"/>
    <x v="20"/>
    <s v="bill_payment"/>
    <s v="East"/>
    <n v="0.02"/>
  </r>
  <r>
    <s v="TXN100386"/>
    <n v="148"/>
    <x v="17"/>
    <x v="382"/>
    <n v="49"/>
    <s v="Card"/>
    <s v="captured"/>
    <n v="36"/>
    <x v="17"/>
    <s v="food_delivery"/>
    <s v="East"/>
    <n v="0.02"/>
  </r>
  <r>
    <s v="TXN100387"/>
    <n v="46"/>
    <x v="21"/>
    <x v="383"/>
    <n v="99"/>
    <s v="Wallet"/>
    <s v="captured"/>
    <n v="29"/>
    <x v="21"/>
    <s v="entertainment"/>
    <s v="South"/>
    <n v="1.4999999999999999E-2"/>
  </r>
  <r>
    <s v="TXN100388"/>
    <n v="20"/>
    <x v="9"/>
    <x v="384"/>
    <n v="799"/>
    <s v="Card"/>
    <s v="captured"/>
    <n v="53"/>
    <x v="9"/>
    <s v="ecommerce"/>
    <s v="East"/>
    <n v="0.02"/>
  </r>
  <r>
    <s v="TXN100389"/>
    <n v="19"/>
    <x v="22"/>
    <x v="385"/>
    <n v="49"/>
    <s v="UPI"/>
    <s v="captured"/>
    <n v="100"/>
    <x v="22"/>
    <s v="food_delivery"/>
    <s v="East"/>
    <n v="0"/>
  </r>
  <r>
    <s v="TXN100390"/>
    <n v="149"/>
    <x v="4"/>
    <x v="386"/>
    <n v="4999"/>
    <s v="Wallet"/>
    <s v="captured"/>
    <n v="1"/>
    <x v="4"/>
    <s v="grocery"/>
    <s v="East"/>
    <n v="1.4999999999999999E-2"/>
  </r>
  <r>
    <s v="TXN100391"/>
    <n v="55"/>
    <x v="3"/>
    <x v="387"/>
    <n v="499"/>
    <s v="UPI"/>
    <s v="captured"/>
    <n v="36"/>
    <x v="3"/>
    <s v="travel"/>
    <s v="South"/>
    <n v="0"/>
  </r>
  <r>
    <s v="TXN100392"/>
    <n v="269"/>
    <x v="33"/>
    <x v="388"/>
    <n v="49"/>
    <s v="Card"/>
    <s v="captured"/>
    <n v="17"/>
    <x v="33"/>
    <s v="food_delivery"/>
    <s v="West"/>
    <n v="0.02"/>
  </r>
  <r>
    <s v="TXN100393"/>
    <n v="140"/>
    <x v="6"/>
    <x v="389"/>
    <n v="2999"/>
    <s v="UPI"/>
    <s v="captured"/>
    <n v="14"/>
    <x v="6"/>
    <s v="travel"/>
    <s v="East"/>
    <n v="0"/>
  </r>
  <r>
    <s v="TXN100394"/>
    <n v="235"/>
    <x v="28"/>
    <x v="390"/>
    <n v="2999"/>
    <s v="UPI"/>
    <s v="captured"/>
    <n v="91"/>
    <x v="28"/>
    <s v="grocery"/>
    <s v="North"/>
    <n v="0"/>
  </r>
  <r>
    <s v="TXN100395"/>
    <n v="173"/>
    <x v="13"/>
    <x v="391"/>
    <n v="499"/>
    <s v="UPI"/>
    <s v="failed"/>
    <n v="72"/>
    <x v="13"/>
    <s v="grocery"/>
    <s v="North"/>
    <n v="0"/>
  </r>
  <r>
    <s v="TXN100396"/>
    <n v="313"/>
    <x v="22"/>
    <x v="392"/>
    <n v="499"/>
    <s v="UPI"/>
    <s v="captured"/>
    <n v="54"/>
    <x v="22"/>
    <s v="food_delivery"/>
    <s v="East"/>
    <n v="0"/>
  </r>
  <r>
    <s v="TXN100397"/>
    <n v="206"/>
    <x v="23"/>
    <x v="393"/>
    <n v="149"/>
    <s v="Wallet"/>
    <s v="captured"/>
    <n v="23"/>
    <x v="23"/>
    <s v="food_delivery"/>
    <s v="East"/>
    <n v="1.4999999999999999E-2"/>
  </r>
  <r>
    <s v="TXN100398"/>
    <n v="128"/>
    <x v="37"/>
    <x v="394"/>
    <n v="1499"/>
    <s v="Netbanking"/>
    <s v="captured"/>
    <n v="33"/>
    <x v="37"/>
    <s v="ecommerce"/>
    <s v="South"/>
    <n v="0.01"/>
  </r>
  <r>
    <s v="TXN100399"/>
    <n v="137"/>
    <x v="3"/>
    <x v="395"/>
    <n v="799"/>
    <s v="UPI"/>
    <s v="failed"/>
    <n v="38"/>
    <x v="3"/>
    <s v="travel"/>
    <s v="South"/>
    <n v="0"/>
  </r>
  <r>
    <s v="TXN100400"/>
    <n v="6"/>
    <x v="28"/>
    <x v="396"/>
    <n v="49"/>
    <s v="UPI"/>
    <s v="captured"/>
    <n v="83"/>
    <x v="28"/>
    <s v="grocery"/>
    <s v="North"/>
    <n v="0"/>
  </r>
  <r>
    <s v="TXN100401"/>
    <n v="32"/>
    <x v="30"/>
    <x v="397"/>
    <n v="299"/>
    <s v="Card"/>
    <s v="captured"/>
    <n v="59"/>
    <x v="30"/>
    <s v="food_delivery"/>
    <s v="North"/>
    <n v="0.02"/>
  </r>
  <r>
    <s v="TXN100402"/>
    <n v="258"/>
    <x v="15"/>
    <x v="398"/>
    <n v="149"/>
    <s v="UPI"/>
    <s v="captured"/>
    <n v="88"/>
    <x v="15"/>
    <s v="food_delivery"/>
    <s v="East"/>
    <n v="0"/>
  </r>
  <r>
    <s v="TXN100403"/>
    <n v="152"/>
    <x v="31"/>
    <x v="399"/>
    <n v="149"/>
    <s v="UPI"/>
    <s v="chargeback"/>
    <n v="78"/>
    <x v="31"/>
    <s v="grocery"/>
    <s v="North"/>
    <n v="0"/>
  </r>
  <r>
    <s v="TXN100404"/>
    <n v="245"/>
    <x v="34"/>
    <x v="400"/>
    <n v="799"/>
    <s v="Wallet"/>
    <s v="captured"/>
    <n v="58"/>
    <x v="34"/>
    <s v="grocery"/>
    <s v="West"/>
    <n v="1.4999999999999999E-2"/>
  </r>
  <r>
    <s v="TXN100405"/>
    <n v="213"/>
    <x v="25"/>
    <x v="401"/>
    <n v="49"/>
    <s v="Wallet"/>
    <s v="captured"/>
    <n v="60"/>
    <x v="25"/>
    <s v="entertainment"/>
    <s v="East"/>
    <n v="1.4999999999999999E-2"/>
  </r>
  <r>
    <s v="TXN100406"/>
    <n v="341"/>
    <x v="16"/>
    <x v="402"/>
    <n v="99"/>
    <s v="Netbanking"/>
    <s v="captured"/>
    <n v="97"/>
    <x v="16"/>
    <s v="grocery"/>
    <s v="East"/>
    <n v="0.01"/>
  </r>
  <r>
    <s v="TXN100407"/>
    <n v="306"/>
    <x v="18"/>
    <x v="403"/>
    <n v="149"/>
    <s v="Netbanking"/>
    <s v="captured"/>
    <n v="67"/>
    <x v="18"/>
    <s v="food_delivery"/>
    <s v="South"/>
    <n v="0.01"/>
  </r>
  <r>
    <s v="TXN100408"/>
    <n v="186"/>
    <x v="32"/>
    <x v="404"/>
    <n v="499"/>
    <s v="UPI"/>
    <s v="captured"/>
    <n v="72"/>
    <x v="32"/>
    <s v="recharge"/>
    <s v="South"/>
    <n v="0"/>
  </r>
  <r>
    <s v="TXN100409"/>
    <n v="281"/>
    <x v="11"/>
    <x v="405"/>
    <n v="4999"/>
    <s v="UPI"/>
    <s v="captured"/>
    <n v="25"/>
    <x v="11"/>
    <s v="bill_payment"/>
    <s v="East"/>
    <n v="0"/>
  </r>
  <r>
    <s v="TXN100410"/>
    <n v="85"/>
    <x v="17"/>
    <x v="406"/>
    <n v="99"/>
    <s v="UPI"/>
    <s v="captured"/>
    <n v="66"/>
    <x v="17"/>
    <s v="food_delivery"/>
    <s v="East"/>
    <n v="0"/>
  </r>
  <r>
    <s v="TXN100411"/>
    <n v="106"/>
    <x v="35"/>
    <x v="407"/>
    <n v="499"/>
    <s v="UPI"/>
    <s v="captured"/>
    <n v="62"/>
    <x v="35"/>
    <s v="grocery"/>
    <s v="East"/>
    <n v="0"/>
  </r>
  <r>
    <s v="TXN100412"/>
    <n v="29"/>
    <x v="24"/>
    <x v="408"/>
    <n v="149"/>
    <s v="Netbanking"/>
    <s v="captured"/>
    <n v="16"/>
    <x v="24"/>
    <s v="travel"/>
    <s v="West"/>
    <n v="0.01"/>
  </r>
  <r>
    <s v="TXN100413"/>
    <n v="289"/>
    <x v="29"/>
    <x v="409"/>
    <n v="1499"/>
    <s v="Card"/>
    <s v="captured"/>
    <n v="71"/>
    <x v="29"/>
    <s v="ecommerce"/>
    <s v="East"/>
    <n v="0.02"/>
  </r>
  <r>
    <s v="TXN100414"/>
    <n v="158"/>
    <x v="27"/>
    <x v="410"/>
    <n v="1499"/>
    <s v="Card"/>
    <s v="captured"/>
    <n v="50"/>
    <x v="27"/>
    <s v="grocery"/>
    <s v="West"/>
    <n v="0.02"/>
  </r>
  <r>
    <s v="TXN100415"/>
    <n v="112"/>
    <x v="35"/>
    <x v="411"/>
    <n v="49"/>
    <s v="UPI"/>
    <s v="captured"/>
    <n v="9"/>
    <x v="35"/>
    <s v="grocery"/>
    <s v="East"/>
    <n v="0"/>
  </r>
  <r>
    <s v="TXN100416"/>
    <n v="33"/>
    <x v="8"/>
    <x v="412"/>
    <n v="299"/>
    <s v="Card"/>
    <s v="failed"/>
    <n v="7"/>
    <x v="8"/>
    <s v="recharge"/>
    <s v="East"/>
    <n v="0.02"/>
  </r>
  <r>
    <s v="TXN100417"/>
    <n v="242"/>
    <x v="4"/>
    <x v="413"/>
    <n v="49"/>
    <s v="UPI"/>
    <s v="captured"/>
    <n v="36"/>
    <x v="4"/>
    <s v="grocery"/>
    <s v="East"/>
    <n v="0"/>
  </r>
  <r>
    <s v="TXN100418"/>
    <n v="70"/>
    <x v="1"/>
    <x v="414"/>
    <n v="149"/>
    <s v="UPI"/>
    <s v="captured"/>
    <n v="47"/>
    <x v="1"/>
    <s v="ecommerce"/>
    <s v="North"/>
    <n v="0"/>
  </r>
  <r>
    <s v="TXN100419"/>
    <n v="194"/>
    <x v="14"/>
    <x v="415"/>
    <n v="49"/>
    <s v="Wallet"/>
    <s v="captured"/>
    <n v="10"/>
    <x v="14"/>
    <s v="travel"/>
    <s v="South"/>
    <n v="1.4999999999999999E-2"/>
  </r>
  <r>
    <s v="TXN100420"/>
    <n v="277"/>
    <x v="39"/>
    <x v="416"/>
    <n v="799"/>
    <s v="UPI"/>
    <s v="captured"/>
    <n v="83"/>
    <x v="39"/>
    <s v="ecommerce"/>
    <s v="North"/>
    <n v="0"/>
  </r>
  <r>
    <s v="TXN100421"/>
    <n v="92"/>
    <x v="8"/>
    <x v="417"/>
    <n v="49"/>
    <s v="UPI"/>
    <s v="captured"/>
    <n v="50"/>
    <x v="8"/>
    <s v="recharge"/>
    <s v="East"/>
    <n v="0"/>
  </r>
  <r>
    <s v="TXN100422"/>
    <n v="115"/>
    <x v="37"/>
    <x v="418"/>
    <n v="149"/>
    <s v="Wallet"/>
    <s v="captured"/>
    <n v="96"/>
    <x v="37"/>
    <s v="ecommerce"/>
    <s v="South"/>
    <n v="1.4999999999999999E-2"/>
  </r>
  <r>
    <s v="TXN100423"/>
    <n v="345"/>
    <x v="8"/>
    <x v="419"/>
    <n v="499"/>
    <s v="Card"/>
    <s v="captured"/>
    <n v="54"/>
    <x v="8"/>
    <s v="recharge"/>
    <s v="East"/>
    <n v="0.02"/>
  </r>
  <r>
    <s v="TXN100424"/>
    <n v="118"/>
    <x v="0"/>
    <x v="420"/>
    <n v="49"/>
    <s v="UPI"/>
    <s v="captured"/>
    <n v="58"/>
    <x v="0"/>
    <s v="bill_payment"/>
    <s v="West"/>
    <n v="0"/>
  </r>
  <r>
    <s v="TXN100425"/>
    <n v="97"/>
    <x v="30"/>
    <x v="421"/>
    <n v="99"/>
    <s v="Netbanking"/>
    <s v="captured"/>
    <n v="4"/>
    <x v="30"/>
    <s v="food_delivery"/>
    <s v="North"/>
    <n v="0.01"/>
  </r>
  <r>
    <s v="TXN100426"/>
    <n v="315"/>
    <x v="27"/>
    <x v="422"/>
    <n v="299"/>
    <s v="Wallet"/>
    <s v="captured"/>
    <n v="30"/>
    <x v="27"/>
    <s v="grocery"/>
    <s v="West"/>
    <n v="1.4999999999999999E-2"/>
  </r>
  <r>
    <s v="TXN100427"/>
    <n v="305"/>
    <x v="4"/>
    <x v="423"/>
    <n v="299"/>
    <s v="UPI"/>
    <s v="captured"/>
    <n v="57"/>
    <x v="4"/>
    <s v="grocery"/>
    <s v="East"/>
    <n v="0"/>
  </r>
  <r>
    <s v="TXN100428"/>
    <n v="25"/>
    <x v="0"/>
    <x v="424"/>
    <n v="299"/>
    <s v="UPI"/>
    <s v="captured"/>
    <n v="94"/>
    <x v="0"/>
    <s v="bill_payment"/>
    <s v="West"/>
    <n v="0"/>
  </r>
  <r>
    <s v="TXN100429"/>
    <n v="120"/>
    <x v="8"/>
    <x v="425"/>
    <n v="49"/>
    <s v="UPI"/>
    <s v="captured"/>
    <n v="27"/>
    <x v="8"/>
    <s v="recharge"/>
    <s v="East"/>
    <n v="0"/>
  </r>
  <r>
    <s v="TXN100430"/>
    <n v="258"/>
    <x v="13"/>
    <x v="426"/>
    <n v="49"/>
    <s v="Wallet"/>
    <s v="captured"/>
    <n v="29"/>
    <x v="13"/>
    <s v="grocery"/>
    <s v="North"/>
    <n v="1.4999999999999999E-2"/>
  </r>
  <r>
    <s v="TXN100431"/>
    <n v="164"/>
    <x v="21"/>
    <x v="427"/>
    <n v="799"/>
    <s v="UPI"/>
    <s v="captured"/>
    <n v="76"/>
    <x v="21"/>
    <s v="entertainment"/>
    <s v="South"/>
    <n v="0"/>
  </r>
  <r>
    <s v="TXN100432"/>
    <n v="165"/>
    <x v="0"/>
    <x v="428"/>
    <n v="49"/>
    <s v="Wallet"/>
    <s v="captured"/>
    <n v="38"/>
    <x v="0"/>
    <s v="bill_payment"/>
    <s v="West"/>
    <n v="1.4999999999999999E-2"/>
  </r>
  <r>
    <s v="TXN100433"/>
    <n v="267"/>
    <x v="19"/>
    <x v="429"/>
    <n v="49"/>
    <s v="Netbanking"/>
    <s v="captured"/>
    <n v="52"/>
    <x v="19"/>
    <s v="travel"/>
    <s v="North"/>
    <n v="0.01"/>
  </r>
  <r>
    <s v="TXN100434"/>
    <n v="286"/>
    <x v="35"/>
    <x v="430"/>
    <n v="299"/>
    <s v="Wallet"/>
    <s v="captured"/>
    <n v="94"/>
    <x v="35"/>
    <s v="grocery"/>
    <s v="East"/>
    <n v="1.4999999999999999E-2"/>
  </r>
  <r>
    <s v="TXN100435"/>
    <n v="348"/>
    <x v="10"/>
    <x v="431"/>
    <n v="499"/>
    <s v="Card"/>
    <s v="captured"/>
    <n v="71"/>
    <x v="10"/>
    <s v="ecommerce"/>
    <s v="South"/>
    <n v="0.02"/>
  </r>
  <r>
    <s v="TXN100436"/>
    <n v="330"/>
    <x v="14"/>
    <x v="432"/>
    <n v="799"/>
    <s v="UPI"/>
    <s v="captured"/>
    <n v="100"/>
    <x v="14"/>
    <s v="travel"/>
    <s v="South"/>
    <n v="0"/>
  </r>
  <r>
    <s v="TXN100437"/>
    <n v="214"/>
    <x v="1"/>
    <x v="433"/>
    <n v="299"/>
    <s v="Card"/>
    <s v="captured"/>
    <n v="19"/>
    <x v="1"/>
    <s v="ecommerce"/>
    <s v="North"/>
    <n v="0.02"/>
  </r>
  <r>
    <s v="TXN100438"/>
    <n v="276"/>
    <x v="20"/>
    <x v="434"/>
    <n v="499"/>
    <s v="UPI"/>
    <s v="captured"/>
    <n v="30"/>
    <x v="20"/>
    <s v="bill_payment"/>
    <s v="East"/>
    <n v="0"/>
  </r>
  <r>
    <s v="TXN100439"/>
    <n v="74"/>
    <x v="24"/>
    <x v="435"/>
    <n v="49"/>
    <s v="UPI"/>
    <s v="captured"/>
    <n v="7"/>
    <x v="24"/>
    <s v="travel"/>
    <s v="West"/>
    <n v="0"/>
  </r>
  <r>
    <s v="TXN100440"/>
    <n v="286"/>
    <x v="36"/>
    <x v="436"/>
    <n v="49"/>
    <s v="Card"/>
    <s v="captured"/>
    <n v="17"/>
    <x v="36"/>
    <s v="travel"/>
    <s v="South"/>
    <n v="0.02"/>
  </r>
  <r>
    <s v="TXN100441"/>
    <n v="105"/>
    <x v="3"/>
    <x v="437"/>
    <n v="4999"/>
    <s v="UPI"/>
    <s v="captured"/>
    <n v="82"/>
    <x v="3"/>
    <s v="travel"/>
    <s v="South"/>
    <n v="0"/>
  </r>
  <r>
    <s v="TXN100442"/>
    <n v="190"/>
    <x v="18"/>
    <x v="438"/>
    <n v="799"/>
    <s v="Wallet"/>
    <s v="captured"/>
    <n v="68"/>
    <x v="18"/>
    <s v="food_delivery"/>
    <s v="South"/>
    <n v="1.4999999999999999E-2"/>
  </r>
  <r>
    <s v="TXN100443"/>
    <n v="138"/>
    <x v="14"/>
    <x v="439"/>
    <n v="299"/>
    <s v="Wallet"/>
    <s v="captured"/>
    <n v="86"/>
    <x v="14"/>
    <s v="travel"/>
    <s v="South"/>
    <n v="1.4999999999999999E-2"/>
  </r>
  <r>
    <s v="TXN100444"/>
    <n v="38"/>
    <x v="6"/>
    <x v="440"/>
    <n v="4999"/>
    <s v="Netbanking"/>
    <s v="captured"/>
    <n v="97"/>
    <x v="6"/>
    <s v="travel"/>
    <s v="East"/>
    <n v="0.01"/>
  </r>
  <r>
    <s v="TXN100445"/>
    <n v="287"/>
    <x v="16"/>
    <x v="441"/>
    <n v="99"/>
    <s v="Wallet"/>
    <s v="captured"/>
    <n v="61"/>
    <x v="16"/>
    <s v="grocery"/>
    <s v="East"/>
    <n v="1.4999999999999999E-2"/>
  </r>
  <r>
    <s v="TXN100446"/>
    <n v="8"/>
    <x v="16"/>
    <x v="442"/>
    <n v="49"/>
    <s v="UPI"/>
    <s v="captured"/>
    <n v="24"/>
    <x v="16"/>
    <s v="grocery"/>
    <s v="East"/>
    <n v="0"/>
  </r>
  <r>
    <s v="TXN100447"/>
    <n v="246"/>
    <x v="0"/>
    <x v="443"/>
    <n v="1499"/>
    <s v="Wallet"/>
    <s v="captured"/>
    <n v="89"/>
    <x v="0"/>
    <s v="bill_payment"/>
    <s v="West"/>
    <n v="1.4999999999999999E-2"/>
  </r>
  <r>
    <s v="TXN100448"/>
    <n v="204"/>
    <x v="0"/>
    <x v="444"/>
    <n v="149"/>
    <s v="UPI"/>
    <s v="captured"/>
    <n v="70"/>
    <x v="0"/>
    <s v="bill_payment"/>
    <s v="West"/>
    <n v="0"/>
  </r>
  <r>
    <s v="TXN100449"/>
    <n v="239"/>
    <x v="8"/>
    <x v="445"/>
    <n v="4999"/>
    <s v="UPI"/>
    <s v="captured"/>
    <n v="83"/>
    <x v="8"/>
    <s v="recharge"/>
    <s v="East"/>
    <n v="0"/>
  </r>
  <r>
    <s v="TXN100450"/>
    <n v="185"/>
    <x v="11"/>
    <x v="446"/>
    <n v="299"/>
    <s v="UPI"/>
    <s v="captured"/>
    <n v="63"/>
    <x v="11"/>
    <s v="bill_payment"/>
    <s v="East"/>
    <n v="0"/>
  </r>
  <r>
    <s v="TXN100451"/>
    <n v="241"/>
    <x v="17"/>
    <x v="447"/>
    <n v="299"/>
    <s v="Card"/>
    <s v="captured"/>
    <n v="26"/>
    <x v="17"/>
    <s v="food_delivery"/>
    <s v="East"/>
    <n v="0.02"/>
  </r>
  <r>
    <s v="TXN100452"/>
    <n v="24"/>
    <x v="21"/>
    <x v="448"/>
    <n v="149"/>
    <s v="UPI"/>
    <s v="captured"/>
    <n v="28"/>
    <x v="21"/>
    <s v="entertainment"/>
    <s v="South"/>
    <n v="0"/>
  </r>
  <r>
    <s v="TXN100453"/>
    <n v="134"/>
    <x v="25"/>
    <x v="449"/>
    <n v="1499"/>
    <s v="UPI"/>
    <s v="captured"/>
    <n v="74"/>
    <x v="25"/>
    <s v="entertainment"/>
    <s v="East"/>
    <n v="0"/>
  </r>
  <r>
    <s v="TXN100454"/>
    <n v="152"/>
    <x v="34"/>
    <x v="450"/>
    <n v="499"/>
    <s v="Wallet"/>
    <s v="captured"/>
    <n v="25"/>
    <x v="34"/>
    <s v="grocery"/>
    <s v="West"/>
    <n v="1.4999999999999999E-2"/>
  </r>
  <r>
    <s v="TXN100455"/>
    <n v="292"/>
    <x v="0"/>
    <x v="451"/>
    <n v="499"/>
    <s v="Netbanking"/>
    <s v="captured"/>
    <n v="63"/>
    <x v="0"/>
    <s v="bill_payment"/>
    <s v="West"/>
    <n v="0.01"/>
  </r>
  <r>
    <s v="TXN100456"/>
    <n v="173"/>
    <x v="28"/>
    <x v="452"/>
    <n v="99"/>
    <s v="Netbanking"/>
    <s v="captured"/>
    <n v="97"/>
    <x v="28"/>
    <s v="grocery"/>
    <s v="North"/>
    <n v="0.01"/>
  </r>
  <r>
    <s v="TXN100457"/>
    <n v="329"/>
    <x v="33"/>
    <x v="453"/>
    <n v="1499"/>
    <s v="UPI"/>
    <s v="captured"/>
    <n v="58"/>
    <x v="33"/>
    <s v="food_delivery"/>
    <s v="West"/>
    <n v="0"/>
  </r>
  <r>
    <s v="TXN100458"/>
    <n v="181"/>
    <x v="2"/>
    <x v="454"/>
    <n v="1499"/>
    <s v="UPI"/>
    <s v="captured"/>
    <n v="17"/>
    <x v="2"/>
    <s v="ecommerce"/>
    <s v="North"/>
    <n v="0"/>
  </r>
  <r>
    <s v="TXN100459"/>
    <n v="95"/>
    <x v="8"/>
    <x v="455"/>
    <n v="149"/>
    <s v="Wallet"/>
    <s v="captured"/>
    <n v="82"/>
    <x v="8"/>
    <s v="recharge"/>
    <s v="East"/>
    <n v="1.4999999999999999E-2"/>
  </r>
  <r>
    <s v="TXN100460"/>
    <n v="39"/>
    <x v="29"/>
    <x v="456"/>
    <n v="149"/>
    <s v="Netbanking"/>
    <s v="captured"/>
    <n v="97"/>
    <x v="29"/>
    <s v="ecommerce"/>
    <s v="East"/>
    <n v="0.01"/>
  </r>
  <r>
    <s v="TXN100461"/>
    <n v="323"/>
    <x v="19"/>
    <x v="457"/>
    <n v="499"/>
    <s v="UPI"/>
    <s v="captured"/>
    <n v="8"/>
    <x v="19"/>
    <s v="travel"/>
    <s v="North"/>
    <n v="0"/>
  </r>
  <r>
    <s v="TXN100462"/>
    <n v="112"/>
    <x v="11"/>
    <x v="458"/>
    <n v="49"/>
    <s v="Netbanking"/>
    <s v="captured"/>
    <n v="58"/>
    <x v="11"/>
    <s v="bill_payment"/>
    <s v="East"/>
    <n v="0.01"/>
  </r>
  <r>
    <s v="TXN100463"/>
    <n v="327"/>
    <x v="12"/>
    <x v="459"/>
    <n v="99"/>
    <s v="UPI"/>
    <s v="captured"/>
    <n v="61"/>
    <x v="12"/>
    <s v="entertainment"/>
    <s v="South"/>
    <n v="0"/>
  </r>
  <r>
    <s v="TXN100464"/>
    <n v="4"/>
    <x v="8"/>
    <x v="460"/>
    <n v="299"/>
    <s v="UPI"/>
    <s v="captured"/>
    <n v="70"/>
    <x v="8"/>
    <s v="recharge"/>
    <s v="East"/>
    <n v="0"/>
  </r>
  <r>
    <s v="TXN100465"/>
    <n v="272"/>
    <x v="7"/>
    <x v="461"/>
    <n v="149"/>
    <s v="UPI"/>
    <s v="captured"/>
    <n v="68"/>
    <x v="7"/>
    <s v="grocery"/>
    <s v="West"/>
    <n v="0"/>
  </r>
  <r>
    <s v="TXN100466"/>
    <n v="346"/>
    <x v="10"/>
    <x v="462"/>
    <n v="499"/>
    <s v="UPI"/>
    <s v="captured"/>
    <n v="22"/>
    <x v="10"/>
    <s v="ecommerce"/>
    <s v="South"/>
    <n v="0"/>
  </r>
  <r>
    <s v="TXN100467"/>
    <n v="77"/>
    <x v="0"/>
    <x v="463"/>
    <n v="49"/>
    <s v="Wallet"/>
    <s v="captured"/>
    <n v="24"/>
    <x v="0"/>
    <s v="bill_payment"/>
    <s v="West"/>
    <n v="1.4999999999999999E-2"/>
  </r>
  <r>
    <s v="TXN100468"/>
    <n v="182"/>
    <x v="7"/>
    <x v="464"/>
    <n v="149"/>
    <s v="Card"/>
    <s v="captured"/>
    <n v="50"/>
    <x v="7"/>
    <s v="grocery"/>
    <s v="West"/>
    <n v="0.02"/>
  </r>
  <r>
    <s v="TXN100469"/>
    <n v="236"/>
    <x v="21"/>
    <x v="465"/>
    <n v="299"/>
    <s v="Card"/>
    <s v="captured"/>
    <n v="31"/>
    <x v="21"/>
    <s v="entertainment"/>
    <s v="South"/>
    <n v="0.02"/>
  </r>
  <r>
    <s v="TXN100470"/>
    <n v="42"/>
    <x v="4"/>
    <x v="76"/>
    <n v="49"/>
    <s v="UPI"/>
    <s v="captured"/>
    <n v="11"/>
    <x v="4"/>
    <s v="grocery"/>
    <s v="East"/>
    <n v="0"/>
  </r>
  <r>
    <s v="TXN100471"/>
    <n v="283"/>
    <x v="20"/>
    <x v="466"/>
    <n v="299"/>
    <s v="Netbanking"/>
    <s v="captured"/>
    <n v="7"/>
    <x v="20"/>
    <s v="bill_payment"/>
    <s v="East"/>
    <n v="0.01"/>
  </r>
  <r>
    <s v="TXN100472"/>
    <n v="88"/>
    <x v="18"/>
    <x v="467"/>
    <n v="49"/>
    <s v="UPI"/>
    <s v="captured"/>
    <n v="63"/>
    <x v="18"/>
    <s v="food_delivery"/>
    <s v="South"/>
    <n v="0"/>
  </r>
  <r>
    <s v="TXN100473"/>
    <n v="170"/>
    <x v="21"/>
    <x v="468"/>
    <n v="99"/>
    <s v="UPI"/>
    <s v="failed"/>
    <n v="12"/>
    <x v="21"/>
    <s v="entertainment"/>
    <s v="South"/>
    <n v="0"/>
  </r>
  <r>
    <s v="TXN100474"/>
    <n v="22"/>
    <x v="19"/>
    <x v="469"/>
    <n v="49"/>
    <s v="Netbanking"/>
    <s v="captured"/>
    <n v="27"/>
    <x v="19"/>
    <s v="travel"/>
    <s v="North"/>
    <n v="0.01"/>
  </r>
  <r>
    <s v="TXN100475"/>
    <n v="291"/>
    <x v="20"/>
    <x v="470"/>
    <n v="49"/>
    <s v="Netbanking"/>
    <s v="failed"/>
    <n v="34"/>
    <x v="20"/>
    <s v="bill_payment"/>
    <s v="East"/>
    <n v="0.01"/>
  </r>
  <r>
    <s v="TXN100476"/>
    <n v="144"/>
    <x v="8"/>
    <x v="471"/>
    <n v="1499"/>
    <s v="UPI"/>
    <s v="captured"/>
    <n v="72"/>
    <x v="8"/>
    <s v="recharge"/>
    <s v="East"/>
    <n v="0"/>
  </r>
  <r>
    <s v="TXN100477"/>
    <n v="162"/>
    <x v="27"/>
    <x v="472"/>
    <n v="299"/>
    <s v="Wallet"/>
    <s v="captured"/>
    <n v="26"/>
    <x v="27"/>
    <s v="grocery"/>
    <s v="West"/>
    <n v="1.4999999999999999E-2"/>
  </r>
  <r>
    <s v="TXN100478"/>
    <n v="204"/>
    <x v="32"/>
    <x v="473"/>
    <n v="49"/>
    <s v="UPI"/>
    <s v="captured"/>
    <n v="38"/>
    <x v="32"/>
    <s v="recharge"/>
    <s v="South"/>
    <n v="0"/>
  </r>
  <r>
    <s v="TXN100479"/>
    <n v="291"/>
    <x v="14"/>
    <x v="474"/>
    <n v="99"/>
    <s v="Wallet"/>
    <s v="captured"/>
    <n v="86"/>
    <x v="14"/>
    <s v="travel"/>
    <s v="South"/>
    <n v="1.4999999999999999E-2"/>
  </r>
  <r>
    <s v="TXN100480"/>
    <n v="197"/>
    <x v="39"/>
    <x v="475"/>
    <n v="49"/>
    <s v="Wallet"/>
    <s v="failed"/>
    <n v="88"/>
    <x v="39"/>
    <s v="ecommerce"/>
    <s v="North"/>
    <n v="1.4999999999999999E-2"/>
  </r>
  <r>
    <s v="TXN100481"/>
    <n v="178"/>
    <x v="29"/>
    <x v="476"/>
    <n v="1499"/>
    <s v="UPI"/>
    <s v="captured"/>
    <n v="12"/>
    <x v="29"/>
    <s v="ecommerce"/>
    <s v="East"/>
    <n v="0"/>
  </r>
  <r>
    <s v="TXN100482"/>
    <n v="39"/>
    <x v="3"/>
    <x v="477"/>
    <n v="799"/>
    <s v="Netbanking"/>
    <s v="captured"/>
    <n v="77"/>
    <x v="3"/>
    <s v="travel"/>
    <s v="South"/>
    <n v="0.01"/>
  </r>
  <r>
    <s v="TXN100483"/>
    <n v="204"/>
    <x v="17"/>
    <x v="478"/>
    <n v="299"/>
    <s v="Wallet"/>
    <s v="captured"/>
    <n v="3"/>
    <x v="17"/>
    <s v="food_delivery"/>
    <s v="East"/>
    <n v="1.4999999999999999E-2"/>
  </r>
  <r>
    <s v="TXN100484"/>
    <n v="231"/>
    <x v="33"/>
    <x v="479"/>
    <n v="299"/>
    <s v="UPI"/>
    <s v="captured"/>
    <n v="29"/>
    <x v="33"/>
    <s v="food_delivery"/>
    <s v="West"/>
    <n v="0"/>
  </r>
  <r>
    <s v="TXN100485"/>
    <n v="222"/>
    <x v="9"/>
    <x v="480"/>
    <n v="499"/>
    <s v="Wallet"/>
    <s v="failed"/>
    <n v="87"/>
    <x v="9"/>
    <s v="ecommerce"/>
    <s v="East"/>
    <n v="1.4999999999999999E-2"/>
  </r>
  <r>
    <s v="TXN100486"/>
    <n v="44"/>
    <x v="12"/>
    <x v="481"/>
    <n v="499"/>
    <s v="UPI"/>
    <s v="captured"/>
    <n v="37"/>
    <x v="12"/>
    <s v="entertainment"/>
    <s v="South"/>
    <n v="0"/>
  </r>
  <r>
    <s v="TXN100487"/>
    <n v="38"/>
    <x v="18"/>
    <x v="482"/>
    <n v="49"/>
    <s v="Wallet"/>
    <s v="captured"/>
    <n v="34"/>
    <x v="18"/>
    <s v="food_delivery"/>
    <s v="South"/>
    <n v="1.4999999999999999E-2"/>
  </r>
  <r>
    <s v="TXN100488"/>
    <n v="325"/>
    <x v="34"/>
    <x v="483"/>
    <n v="49"/>
    <s v="Netbanking"/>
    <s v="chargeback"/>
    <n v="94"/>
    <x v="34"/>
    <s v="grocery"/>
    <s v="West"/>
    <n v="0.01"/>
  </r>
  <r>
    <s v="TXN100489"/>
    <n v="55"/>
    <x v="18"/>
    <x v="484"/>
    <n v="1499"/>
    <s v="Card"/>
    <s v="captured"/>
    <n v="0"/>
    <x v="18"/>
    <s v="food_delivery"/>
    <s v="South"/>
    <n v="0.02"/>
  </r>
  <r>
    <s v="TXN100490"/>
    <n v="139"/>
    <x v="23"/>
    <x v="485"/>
    <n v="499"/>
    <s v="Card"/>
    <s v="captured"/>
    <n v="16"/>
    <x v="23"/>
    <s v="food_delivery"/>
    <s v="East"/>
    <n v="0.02"/>
  </r>
  <r>
    <s v="TXN100491"/>
    <n v="230"/>
    <x v="25"/>
    <x v="486"/>
    <n v="99"/>
    <s v="Wallet"/>
    <s v="captured"/>
    <n v="71"/>
    <x v="25"/>
    <s v="entertainment"/>
    <s v="East"/>
    <n v="1.4999999999999999E-2"/>
  </r>
  <r>
    <s v="TXN100492"/>
    <n v="14"/>
    <x v="18"/>
    <x v="487"/>
    <n v="799"/>
    <s v="Card"/>
    <s v="captured"/>
    <n v="45"/>
    <x v="18"/>
    <s v="food_delivery"/>
    <s v="South"/>
    <n v="0.02"/>
  </r>
  <r>
    <s v="TXN100493"/>
    <n v="307"/>
    <x v="17"/>
    <x v="488"/>
    <n v="799"/>
    <s v="UPI"/>
    <s v="captured"/>
    <n v="49"/>
    <x v="17"/>
    <s v="food_delivery"/>
    <s v="East"/>
    <n v="0"/>
  </r>
  <r>
    <s v="TXN100494"/>
    <n v="199"/>
    <x v="18"/>
    <x v="489"/>
    <n v="49"/>
    <s v="UPI"/>
    <s v="captured"/>
    <n v="92"/>
    <x v="18"/>
    <s v="food_delivery"/>
    <s v="South"/>
    <n v="0"/>
  </r>
  <r>
    <s v="TXN100495"/>
    <n v="125"/>
    <x v="21"/>
    <x v="490"/>
    <n v="149"/>
    <s v="Wallet"/>
    <s v="captured"/>
    <n v="66"/>
    <x v="21"/>
    <s v="entertainment"/>
    <s v="South"/>
    <n v="1.4999999999999999E-2"/>
  </r>
  <r>
    <s v="TXN100496"/>
    <n v="87"/>
    <x v="39"/>
    <x v="491"/>
    <n v="149"/>
    <s v="UPI"/>
    <s v="captured"/>
    <n v="34"/>
    <x v="39"/>
    <s v="ecommerce"/>
    <s v="North"/>
    <n v="0"/>
  </r>
  <r>
    <s v="TXN100497"/>
    <n v="75"/>
    <x v="32"/>
    <x v="492"/>
    <n v="99"/>
    <s v="UPI"/>
    <s v="captured"/>
    <n v="21"/>
    <x v="32"/>
    <s v="recharge"/>
    <s v="South"/>
    <n v="0"/>
  </r>
  <r>
    <s v="TXN100498"/>
    <n v="154"/>
    <x v="20"/>
    <x v="493"/>
    <n v="499"/>
    <s v="Wallet"/>
    <s v="captured"/>
    <n v="100"/>
    <x v="20"/>
    <s v="bill_payment"/>
    <s v="East"/>
    <n v="1.4999999999999999E-2"/>
  </r>
  <r>
    <s v="TXN100499"/>
    <n v="127"/>
    <x v="33"/>
    <x v="494"/>
    <n v="149"/>
    <s v="Card"/>
    <s v="captured"/>
    <n v="76"/>
    <x v="33"/>
    <s v="food_delivery"/>
    <s v="West"/>
    <n v="0.02"/>
  </r>
  <r>
    <s v="TXN200000"/>
    <n v="351"/>
    <x v="23"/>
    <x v="495"/>
    <n v="1999"/>
    <s v="Card"/>
    <s v="chargeback"/>
    <n v="79"/>
    <x v="23"/>
    <s v="food_delivery"/>
    <s v="East"/>
    <n v="0.02"/>
  </r>
  <r>
    <s v="TXN200001"/>
    <n v="352"/>
    <x v="12"/>
    <x v="496"/>
    <n v="4999"/>
    <s v="Card"/>
    <s v="chargeback"/>
    <n v="95"/>
    <x v="12"/>
    <s v="entertainment"/>
    <s v="South"/>
    <n v="0.02"/>
  </r>
  <r>
    <s v="TXN200002"/>
    <n v="353"/>
    <x v="10"/>
    <x v="497"/>
    <n v="1999"/>
    <s v="Card"/>
    <s v="chargeback"/>
    <n v="79"/>
    <x v="10"/>
    <s v="ecommerce"/>
    <s v="South"/>
    <n v="0.02"/>
  </r>
  <r>
    <s v="TXN200003"/>
    <n v="354"/>
    <x v="6"/>
    <x v="498"/>
    <n v="4999"/>
    <s v="Card"/>
    <s v="chargeback"/>
    <n v="80"/>
    <x v="6"/>
    <s v="travel"/>
    <s v="East"/>
    <n v="0.02"/>
  </r>
  <r>
    <s v="TXN200004"/>
    <n v="355"/>
    <x v="13"/>
    <x v="499"/>
    <n v="4999"/>
    <s v="Card"/>
    <s v="chargeback"/>
    <n v="100"/>
    <x v="13"/>
    <s v="grocery"/>
    <s v="North"/>
    <n v="0.02"/>
  </r>
  <r>
    <s v="TXN200005"/>
    <n v="356"/>
    <x v="14"/>
    <x v="500"/>
    <n v="2999"/>
    <s v="Card"/>
    <s v="chargeback"/>
    <n v="96"/>
    <x v="14"/>
    <s v="travel"/>
    <s v="South"/>
    <n v="0.02"/>
  </r>
  <r>
    <s v="TXN200006"/>
    <n v="357"/>
    <x v="21"/>
    <x v="501"/>
    <n v="1999"/>
    <s v="Card"/>
    <s v="chargeback"/>
    <n v="88"/>
    <x v="21"/>
    <s v="entertainment"/>
    <s v="South"/>
    <n v="0.02"/>
  </r>
  <r>
    <s v="TXN200007"/>
    <n v="358"/>
    <x v="25"/>
    <x v="502"/>
    <n v="999"/>
    <s v="Card"/>
    <s v="chargeback"/>
    <n v="100"/>
    <x v="25"/>
    <s v="entertainment"/>
    <s v="East"/>
    <n v="0.02"/>
  </r>
  <r>
    <s v="TXN200008"/>
    <n v="359"/>
    <x v="26"/>
    <x v="503"/>
    <n v="2999"/>
    <s v="Card"/>
    <s v="chargeback"/>
    <n v="96"/>
    <x v="26"/>
    <s v="ecommerce"/>
    <s v="North"/>
    <n v="0.02"/>
  </r>
  <r>
    <s v="TXN200009"/>
    <n v="360"/>
    <x v="33"/>
    <x v="504"/>
    <n v="1999"/>
    <s v="Card"/>
    <s v="chargeback"/>
    <n v="90"/>
    <x v="33"/>
    <s v="food_delivery"/>
    <s v="West"/>
    <n v="0.02"/>
  </r>
  <r>
    <s v="TXN200010"/>
    <n v="361"/>
    <x v="34"/>
    <x v="505"/>
    <n v="4999"/>
    <s v="Card"/>
    <s v="chargeback"/>
    <n v="95"/>
    <x v="34"/>
    <s v="grocery"/>
    <s v="West"/>
    <n v="0.02"/>
  </r>
  <r>
    <s v="TXN200011"/>
    <n v="362"/>
    <x v="38"/>
    <x v="506"/>
    <n v="4999"/>
    <s v="Card"/>
    <s v="chargeback"/>
    <n v="88"/>
    <x v="38"/>
    <s v="entertainment"/>
    <s v="North"/>
    <n v="0.02"/>
  </r>
  <r>
    <s v="TXN200012"/>
    <n v="363"/>
    <x v="1"/>
    <x v="507"/>
    <n v="999"/>
    <s v="Card"/>
    <s v="chargeback"/>
    <n v="95"/>
    <x v="1"/>
    <s v="ecommerce"/>
    <s v="North"/>
    <n v="0.02"/>
  </r>
  <r>
    <s v="TXN200013"/>
    <n v="364"/>
    <x v="38"/>
    <x v="508"/>
    <n v="999"/>
    <s v="Card"/>
    <s v="chargeback"/>
    <n v="73"/>
    <x v="38"/>
    <s v="entertainment"/>
    <s v="North"/>
    <n v="0.02"/>
  </r>
  <r>
    <s v="TXN200014"/>
    <n v="365"/>
    <x v="5"/>
    <x v="509"/>
    <n v="1999"/>
    <s v="Card"/>
    <s v="chargeback"/>
    <n v="90"/>
    <x v="5"/>
    <s v="travel"/>
    <s v="North"/>
    <n v="0.02"/>
  </r>
  <r>
    <s v="TXN300000"/>
    <n v="314"/>
    <x v="22"/>
    <x v="510"/>
    <n v="399"/>
    <s v="Card"/>
    <s v="failed"/>
    <n v="87"/>
    <x v="22"/>
    <s v="food_delivery"/>
    <s v="East"/>
    <n v="0.02"/>
  </r>
  <r>
    <s v="TXN300001"/>
    <n v="314"/>
    <x v="23"/>
    <x v="511"/>
    <n v="299"/>
    <s v="Card"/>
    <s v="failed"/>
    <n v="66"/>
    <x v="23"/>
    <s v="food_delivery"/>
    <s v="East"/>
    <n v="0.02"/>
  </r>
  <r>
    <s v="TXN300002"/>
    <n v="314"/>
    <x v="28"/>
    <x v="512"/>
    <n v="299"/>
    <s v="Card"/>
    <s v="failed"/>
    <n v="92"/>
    <x v="28"/>
    <s v="grocery"/>
    <s v="North"/>
    <n v="0.02"/>
  </r>
  <r>
    <s v="TXN300003"/>
    <n v="314"/>
    <x v="36"/>
    <x v="513"/>
    <n v="499"/>
    <s v="Card"/>
    <s v="captured"/>
    <n v="74"/>
    <x v="36"/>
    <s v="travel"/>
    <s v="South"/>
    <n v="0.02"/>
  </r>
  <r>
    <s v="TXN300004"/>
    <n v="229"/>
    <x v="24"/>
    <x v="514"/>
    <n v="499"/>
    <s v="Card"/>
    <s v="failed"/>
    <n v="92"/>
    <x v="24"/>
    <s v="travel"/>
    <s v="West"/>
    <n v="0.02"/>
  </r>
  <r>
    <s v="TXN300005"/>
    <n v="229"/>
    <x v="34"/>
    <x v="515"/>
    <n v="399"/>
    <s v="Card"/>
    <s v="failed"/>
    <n v="61"/>
    <x v="34"/>
    <s v="grocery"/>
    <s v="West"/>
    <n v="0.02"/>
  </r>
  <r>
    <s v="TXN300006"/>
    <n v="229"/>
    <x v="20"/>
    <x v="516"/>
    <n v="299"/>
    <s v="Card"/>
    <s v="failed"/>
    <n v="78"/>
    <x v="20"/>
    <s v="bill_payment"/>
    <s v="East"/>
    <n v="0.02"/>
  </r>
  <r>
    <s v="TXN300007"/>
    <n v="229"/>
    <x v="1"/>
    <x v="517"/>
    <n v="299"/>
    <s v="Card"/>
    <s v="captured"/>
    <n v="67"/>
    <x v="1"/>
    <s v="ecommerce"/>
    <s v="North"/>
    <n v="0.02"/>
  </r>
  <r>
    <s v="TXN300008"/>
    <n v="73"/>
    <x v="3"/>
    <x v="518"/>
    <n v="399"/>
    <s v="Card"/>
    <s v="failed"/>
    <n v="73"/>
    <x v="3"/>
    <s v="travel"/>
    <s v="South"/>
    <n v="0.02"/>
  </r>
  <r>
    <s v="TXN300009"/>
    <n v="73"/>
    <x v="36"/>
    <x v="519"/>
    <n v="399"/>
    <s v="Card"/>
    <s v="failed"/>
    <n v="82"/>
    <x v="36"/>
    <s v="travel"/>
    <s v="South"/>
    <n v="0.02"/>
  </r>
  <r>
    <s v="TXN300010"/>
    <n v="73"/>
    <x v="20"/>
    <x v="520"/>
    <n v="299"/>
    <s v="Card"/>
    <s v="failed"/>
    <n v="88"/>
    <x v="20"/>
    <s v="bill_payment"/>
    <s v="East"/>
    <n v="0.02"/>
  </r>
  <r>
    <s v="TXN300011"/>
    <n v="73"/>
    <x v="26"/>
    <x v="521"/>
    <n v="399"/>
    <s v="Card"/>
    <s v="captured"/>
    <n v="64"/>
    <x v="26"/>
    <s v="ecommerce"/>
    <s v="North"/>
    <n v="0.02"/>
  </r>
  <r>
    <s v="TXN300012"/>
    <n v="154"/>
    <x v="30"/>
    <x v="522"/>
    <n v="299"/>
    <s v="Card"/>
    <s v="failed"/>
    <n v="81"/>
    <x v="30"/>
    <s v="food_delivery"/>
    <s v="North"/>
    <n v="0.02"/>
  </r>
  <r>
    <s v="TXN300013"/>
    <n v="154"/>
    <x v="23"/>
    <x v="523"/>
    <n v="499"/>
    <s v="Card"/>
    <s v="failed"/>
    <n v="70"/>
    <x v="23"/>
    <s v="food_delivery"/>
    <s v="East"/>
    <n v="0.02"/>
  </r>
  <r>
    <s v="TXN300014"/>
    <n v="154"/>
    <x v="0"/>
    <x v="524"/>
    <n v="499"/>
    <s v="Card"/>
    <s v="failed"/>
    <n v="71"/>
    <x v="0"/>
    <s v="bill_payment"/>
    <s v="West"/>
    <n v="0.02"/>
  </r>
  <r>
    <s v="TXN300015"/>
    <n v="154"/>
    <x v="25"/>
    <x v="525"/>
    <n v="299"/>
    <s v="Card"/>
    <s v="captured"/>
    <n v="81"/>
    <x v="25"/>
    <s v="entertainment"/>
    <s v="East"/>
    <n v="0.02"/>
  </r>
  <r>
    <s v="TXN300016"/>
    <n v="287"/>
    <x v="19"/>
    <x v="526"/>
    <n v="399"/>
    <s v="Card"/>
    <s v="failed"/>
    <n v="71"/>
    <x v="19"/>
    <s v="travel"/>
    <s v="North"/>
    <n v="0.02"/>
  </r>
  <r>
    <s v="TXN300017"/>
    <n v="287"/>
    <x v="9"/>
    <x v="527"/>
    <n v="499"/>
    <s v="Card"/>
    <s v="failed"/>
    <n v="87"/>
    <x v="9"/>
    <s v="ecommerce"/>
    <s v="East"/>
    <n v="0.02"/>
  </r>
  <r>
    <s v="TXN300018"/>
    <n v="287"/>
    <x v="22"/>
    <x v="528"/>
    <n v="299"/>
    <s v="Card"/>
    <s v="failed"/>
    <n v="72"/>
    <x v="22"/>
    <s v="food_delivery"/>
    <s v="East"/>
    <n v="0.02"/>
  </r>
  <r>
    <s v="TXN300019"/>
    <n v="287"/>
    <x v="26"/>
    <x v="529"/>
    <n v="499"/>
    <s v="Card"/>
    <s v="captured"/>
    <n v="87"/>
    <x v="26"/>
    <s v="ecommerce"/>
    <s v="North"/>
    <n v="0.02"/>
  </r>
  <r>
    <s v="TXN300020"/>
    <n v="200"/>
    <x v="16"/>
    <x v="530"/>
    <n v="299"/>
    <s v="Card"/>
    <s v="failed"/>
    <n v="77"/>
    <x v="16"/>
    <s v="grocery"/>
    <s v="East"/>
    <n v="0.02"/>
  </r>
  <r>
    <s v="TXN300021"/>
    <n v="200"/>
    <x v="32"/>
    <x v="531"/>
    <n v="499"/>
    <s v="Card"/>
    <s v="failed"/>
    <n v="66"/>
    <x v="32"/>
    <s v="recharge"/>
    <s v="South"/>
    <n v="0.02"/>
  </r>
  <r>
    <s v="TXN300022"/>
    <n v="200"/>
    <x v="8"/>
    <x v="532"/>
    <n v="299"/>
    <s v="Card"/>
    <s v="failed"/>
    <n v="83"/>
    <x v="8"/>
    <s v="recharge"/>
    <s v="East"/>
    <n v="0.02"/>
  </r>
  <r>
    <s v="TXN300023"/>
    <n v="200"/>
    <x v="17"/>
    <x v="533"/>
    <n v="299"/>
    <s v="Card"/>
    <s v="captured"/>
    <n v="89"/>
    <x v="17"/>
    <s v="food_delivery"/>
    <s v="East"/>
    <n v="0.02"/>
  </r>
  <r>
    <s v="TXN300024"/>
    <n v="59"/>
    <x v="33"/>
    <x v="534"/>
    <n v="499"/>
    <s v="Card"/>
    <s v="failed"/>
    <n v="80"/>
    <x v="33"/>
    <s v="food_delivery"/>
    <s v="West"/>
    <n v="0.02"/>
  </r>
  <r>
    <s v="TXN300025"/>
    <n v="59"/>
    <x v="38"/>
    <x v="535"/>
    <n v="399"/>
    <s v="Card"/>
    <s v="failed"/>
    <n v="85"/>
    <x v="38"/>
    <s v="entertainment"/>
    <s v="North"/>
    <n v="0.02"/>
  </r>
  <r>
    <s v="TXN300026"/>
    <n v="59"/>
    <x v="35"/>
    <x v="536"/>
    <n v="299"/>
    <s v="Card"/>
    <s v="failed"/>
    <n v="82"/>
    <x v="35"/>
    <s v="grocery"/>
    <s v="East"/>
    <n v="0.02"/>
  </r>
  <r>
    <s v="TXN300027"/>
    <n v="59"/>
    <x v="5"/>
    <x v="537"/>
    <n v="399"/>
    <s v="Card"/>
    <s v="captured"/>
    <n v="71"/>
    <x v="5"/>
    <s v="travel"/>
    <s v="North"/>
    <n v="0.02"/>
  </r>
  <r>
    <s v="TXN300028"/>
    <n v="345"/>
    <x v="12"/>
    <x v="538"/>
    <n v="499"/>
    <s v="Card"/>
    <s v="failed"/>
    <n v="65"/>
    <x v="12"/>
    <s v="entertainment"/>
    <s v="South"/>
    <n v="0.02"/>
  </r>
  <r>
    <s v="TXN300029"/>
    <n v="345"/>
    <x v="39"/>
    <x v="539"/>
    <n v="399"/>
    <s v="Card"/>
    <s v="failed"/>
    <n v="67"/>
    <x v="39"/>
    <s v="ecommerce"/>
    <s v="North"/>
    <n v="0.02"/>
  </r>
  <r>
    <s v="TXN300030"/>
    <n v="345"/>
    <x v="0"/>
    <x v="540"/>
    <n v="399"/>
    <s v="Card"/>
    <s v="failed"/>
    <n v="67"/>
    <x v="0"/>
    <s v="bill_payment"/>
    <s v="West"/>
    <n v="0.02"/>
  </r>
  <r>
    <s v="TXN300031"/>
    <n v="345"/>
    <x v="9"/>
    <x v="541"/>
    <n v="399"/>
    <s v="Card"/>
    <s v="captured"/>
    <n v="69"/>
    <x v="9"/>
    <s v="ecommerce"/>
    <s v="East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E5039-C2DA-4635-813D-6B9627771369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87" firstHeaderRow="1" firstDataRow="1" firstDataCol="1"/>
  <pivotFields count="15">
    <pivotField showAll="0"/>
    <pivotField showAll="0"/>
    <pivotField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umFmtId="22" showAll="0">
      <items count="543">
        <item x="106"/>
        <item x="346"/>
        <item x="10"/>
        <item x="217"/>
        <item x="54"/>
        <item x="274"/>
        <item x="489"/>
        <item x="419"/>
        <item x="271"/>
        <item x="43"/>
        <item x="457"/>
        <item x="70"/>
        <item x="166"/>
        <item x="107"/>
        <item x="530"/>
        <item x="531"/>
        <item x="532"/>
        <item x="533"/>
        <item x="471"/>
        <item x="101"/>
        <item x="41"/>
        <item x="168"/>
        <item x="177"/>
        <item x="237"/>
        <item x="425"/>
        <item x="412"/>
        <item x="456"/>
        <item x="510"/>
        <item x="511"/>
        <item x="512"/>
        <item x="513"/>
        <item x="138"/>
        <item x="93"/>
        <item x="522"/>
        <item x="523"/>
        <item x="524"/>
        <item x="525"/>
        <item x="186"/>
        <item x="211"/>
        <item x="330"/>
        <item x="196"/>
        <item x="320"/>
        <item x="162"/>
        <item x="267"/>
        <item x="486"/>
        <item x="304"/>
        <item x="113"/>
        <item x="298"/>
        <item x="494"/>
        <item x="465"/>
        <item x="375"/>
        <item x="343"/>
        <item x="438"/>
        <item x="408"/>
        <item x="243"/>
        <item x="178"/>
        <item x="313"/>
        <item x="289"/>
        <item x="405"/>
        <item x="463"/>
        <item x="111"/>
        <item x="294"/>
        <item x="1"/>
        <item x="224"/>
        <item x="350"/>
        <item x="58"/>
        <item x="156"/>
        <item x="399"/>
        <item x="181"/>
        <item x="26"/>
        <item x="272"/>
        <item x="242"/>
        <item x="311"/>
        <item x="135"/>
        <item x="339"/>
        <item x="18"/>
        <item x="39"/>
        <item x="142"/>
        <item x="231"/>
        <item x="190"/>
        <item x="483"/>
        <item x="394"/>
        <item x="307"/>
        <item x="159"/>
        <item x="89"/>
        <item x="303"/>
        <item x="29"/>
        <item x="85"/>
        <item x="208"/>
        <item x="391"/>
        <item x="87"/>
        <item x="207"/>
        <item x="210"/>
        <item x="245"/>
        <item x="355"/>
        <item x="95"/>
        <item x="474"/>
        <item x="109"/>
        <item x="491"/>
        <item x="5"/>
        <item x="140"/>
        <item x="65"/>
        <item x="454"/>
        <item x="290"/>
        <item x="423"/>
        <item x="201"/>
        <item x="94"/>
        <item x="442"/>
        <item x="71"/>
        <item x="364"/>
        <item x="56"/>
        <item x="331"/>
        <item x="362"/>
        <item x="55"/>
        <item x="6"/>
        <item x="400"/>
        <item x="45"/>
        <item x="97"/>
        <item x="370"/>
        <item x="203"/>
        <item x="338"/>
        <item x="53"/>
        <item x="333"/>
        <item x="403"/>
        <item x="279"/>
        <item x="285"/>
        <item x="411"/>
        <item x="84"/>
        <item x="11"/>
        <item x="183"/>
        <item x="292"/>
        <item x="296"/>
        <item x="79"/>
        <item x="218"/>
        <item x="50"/>
        <item x="122"/>
        <item x="146"/>
        <item x="149"/>
        <item x="117"/>
        <item x="301"/>
        <item x="534"/>
        <item x="535"/>
        <item x="536"/>
        <item x="537"/>
        <item x="155"/>
        <item x="284"/>
        <item x="462"/>
        <item x="216"/>
        <item x="276"/>
        <item x="256"/>
        <item x="82"/>
        <item x="324"/>
        <item x="398"/>
        <item x="430"/>
        <item x="492"/>
        <item x="434"/>
        <item x="485"/>
        <item x="387"/>
        <item x="167"/>
        <item x="250"/>
        <item x="310"/>
        <item x="126"/>
        <item x="249"/>
        <item x="179"/>
        <item x="228"/>
        <item x="367"/>
        <item x="295"/>
        <item x="390"/>
        <item x="451"/>
        <item x="8"/>
        <item x="445"/>
        <item x="38"/>
        <item x="496"/>
        <item x="51"/>
        <item x="33"/>
        <item x="353"/>
        <item x="128"/>
        <item x="46"/>
        <item x="459"/>
        <item x="293"/>
        <item x="163"/>
        <item x="421"/>
        <item x="83"/>
        <item x="270"/>
        <item x="182"/>
        <item x="518"/>
        <item x="519"/>
        <item x="520"/>
        <item x="521"/>
        <item x="254"/>
        <item x="446"/>
        <item x="448"/>
        <item x="514"/>
        <item x="515"/>
        <item x="516"/>
        <item x="517"/>
        <item x="347"/>
        <item x="317"/>
        <item x="287"/>
        <item x="202"/>
        <item x="480"/>
        <item x="174"/>
        <item x="151"/>
        <item x="199"/>
        <item x="368"/>
        <item x="397"/>
        <item x="258"/>
        <item x="437"/>
        <item x="395"/>
        <item x="130"/>
        <item x="152"/>
        <item x="175"/>
        <item x="484"/>
        <item x="466"/>
        <item x="504"/>
        <item x="283"/>
        <item x="88"/>
        <item x="114"/>
        <item x="305"/>
        <item x="13"/>
        <item x="165"/>
        <item x="221"/>
        <item x="461"/>
        <item x="14"/>
        <item x="115"/>
        <item x="120"/>
        <item x="15"/>
        <item x="49"/>
        <item x="414"/>
        <item x="30"/>
        <item x="477"/>
        <item x="340"/>
        <item x="493"/>
        <item x="64"/>
        <item x="40"/>
        <item x="526"/>
        <item x="527"/>
        <item x="528"/>
        <item x="529"/>
        <item x="188"/>
        <item x="194"/>
        <item x="238"/>
        <item x="157"/>
        <item x="300"/>
        <item x="37"/>
        <item x="407"/>
        <item x="447"/>
        <item x="34"/>
        <item x="335"/>
        <item x="193"/>
        <item x="363"/>
        <item x="306"/>
        <item x="148"/>
        <item x="173"/>
        <item x="22"/>
        <item x="342"/>
        <item x="192"/>
        <item x="404"/>
        <item x="123"/>
        <item x="240"/>
        <item x="69"/>
        <item x="187"/>
        <item x="388"/>
        <item x="321"/>
        <item x="410"/>
        <item x="103"/>
        <item x="96"/>
        <item x="225"/>
        <item x="357"/>
        <item x="52"/>
        <item x="432"/>
        <item x="118"/>
        <item x="127"/>
        <item x="386"/>
        <item x="376"/>
        <item x="255"/>
        <item x="369"/>
        <item x="359"/>
        <item x="110"/>
        <item x="499"/>
        <item x="236"/>
        <item x="77"/>
        <item x="352"/>
        <item x="323"/>
        <item x="227"/>
        <item x="214"/>
        <item x="418"/>
        <item x="73"/>
        <item x="209"/>
        <item x="229"/>
        <item x="315"/>
        <item x="325"/>
        <item x="393"/>
        <item x="433"/>
        <item x="308"/>
        <item x="487"/>
        <item x="264"/>
        <item x="409"/>
        <item x="134"/>
        <item x="356"/>
        <item x="282"/>
        <item x="133"/>
        <item x="24"/>
        <item x="124"/>
        <item x="20"/>
        <item x="327"/>
        <item x="488"/>
        <item x="164"/>
        <item x="266"/>
        <item x="381"/>
        <item x="74"/>
        <item x="31"/>
        <item x="78"/>
        <item x="366"/>
        <item x="420"/>
        <item x="436"/>
        <item x="90"/>
        <item x="62"/>
        <item x="104"/>
        <item x="322"/>
        <item x="452"/>
        <item x="509"/>
        <item x="384"/>
        <item x="185"/>
        <item x="328"/>
        <item x="473"/>
        <item x="378"/>
        <item x="86"/>
        <item x="358"/>
        <item x="344"/>
        <item x="223"/>
        <item x="263"/>
        <item x="406"/>
        <item x="348"/>
        <item x="198"/>
        <item x="48"/>
        <item x="481"/>
        <item x="42"/>
        <item x="450"/>
        <item x="396"/>
        <item x="441"/>
        <item x="286"/>
        <item x="61"/>
        <item x="297"/>
        <item x="505"/>
        <item x="200"/>
        <item x="280"/>
        <item x="172"/>
        <item x="213"/>
        <item x="464"/>
        <item x="275"/>
        <item x="278"/>
        <item x="440"/>
        <item x="57"/>
        <item x="345"/>
        <item x="424"/>
        <item x="251"/>
        <item x="444"/>
        <item x="299"/>
        <item x="467"/>
        <item x="383"/>
        <item x="239"/>
        <item x="121"/>
        <item x="100"/>
        <item x="241"/>
        <item x="382"/>
        <item x="379"/>
        <item x="479"/>
        <item x="63"/>
        <item x="247"/>
        <item x="252"/>
        <item x="302"/>
        <item x="497"/>
        <item x="9"/>
        <item x="326"/>
        <item x="498"/>
        <item x="253"/>
        <item x="361"/>
        <item x="472"/>
        <item x="212"/>
        <item x="16"/>
        <item x="392"/>
        <item x="176"/>
        <item x="98"/>
        <item x="195"/>
        <item x="257"/>
        <item x="248"/>
        <item x="112"/>
        <item x="17"/>
        <item x="288"/>
        <item x="460"/>
        <item x="373"/>
        <item x="204"/>
        <item x="281"/>
        <item x="215"/>
        <item x="416"/>
        <item x="508"/>
        <item x="170"/>
        <item x="334"/>
        <item x="506"/>
        <item x="458"/>
        <item x="119"/>
        <item x="76"/>
        <item x="220"/>
        <item x="377"/>
        <item x="538"/>
        <item x="539"/>
        <item x="540"/>
        <item x="541"/>
        <item x="206"/>
        <item x="191"/>
        <item x="501"/>
        <item x="136"/>
        <item x="244"/>
        <item x="380"/>
        <item x="371"/>
        <item x="273"/>
        <item x="507"/>
        <item x="60"/>
        <item x="28"/>
        <item x="314"/>
        <item x="360"/>
        <item x="365"/>
        <item x="139"/>
        <item x="184"/>
        <item x="476"/>
        <item x="443"/>
        <item x="449"/>
        <item x="2"/>
        <item x="19"/>
        <item x="439"/>
        <item x="260"/>
        <item x="341"/>
        <item x="12"/>
        <item x="197"/>
        <item x="219"/>
        <item x="259"/>
        <item x="261"/>
        <item x="81"/>
        <item x="319"/>
        <item x="131"/>
        <item x="153"/>
        <item x="455"/>
        <item x="80"/>
        <item x="401"/>
        <item x="171"/>
        <item x="44"/>
        <item x="426"/>
        <item x="351"/>
        <item x="108"/>
        <item x="35"/>
        <item x="309"/>
        <item x="246"/>
        <item x="337"/>
        <item x="125"/>
        <item x="116"/>
        <item x="91"/>
        <item x="36"/>
        <item x="402"/>
        <item x="233"/>
        <item x="478"/>
        <item x="232"/>
        <item x="428"/>
        <item x="503"/>
        <item x="75"/>
        <item x="141"/>
        <item x="374"/>
        <item x="143"/>
        <item x="99"/>
        <item x="482"/>
        <item x="161"/>
        <item x="154"/>
        <item x="32"/>
        <item x="316"/>
        <item x="262"/>
        <item x="66"/>
        <item x="21"/>
        <item x="277"/>
        <item x="132"/>
        <item x="422"/>
        <item x="312"/>
        <item x="23"/>
        <item x="68"/>
        <item x="7"/>
        <item x="25"/>
        <item x="268"/>
        <item x="453"/>
        <item x="102"/>
        <item x="349"/>
        <item x="230"/>
        <item x="205"/>
        <item x="427"/>
        <item x="67"/>
        <item x="27"/>
        <item x="226"/>
        <item x="180"/>
        <item x="502"/>
        <item x="435"/>
        <item x="265"/>
        <item x="417"/>
        <item x="144"/>
        <item x="468"/>
        <item x="150"/>
        <item x="389"/>
        <item x="137"/>
        <item x="92"/>
        <item x="235"/>
        <item x="336"/>
        <item x="318"/>
        <item x="189"/>
        <item x="429"/>
        <item x="385"/>
        <item x="500"/>
        <item x="147"/>
        <item x="0"/>
        <item x="415"/>
        <item x="3"/>
        <item x="105"/>
        <item x="354"/>
        <item x="469"/>
        <item x="169"/>
        <item x="475"/>
        <item x="490"/>
        <item x="329"/>
        <item x="72"/>
        <item x="332"/>
        <item x="470"/>
        <item x="269"/>
        <item x="222"/>
        <item x="413"/>
        <item x="47"/>
        <item x="431"/>
        <item x="495"/>
        <item x="160"/>
        <item x="158"/>
        <item x="291"/>
        <item x="129"/>
        <item x="59"/>
        <item x="4"/>
        <item x="145"/>
        <item x="234"/>
        <item x="372"/>
        <item t="default"/>
      </items>
    </pivotField>
    <pivotField dataField="1" showAll="0"/>
    <pivotField showAll="0"/>
    <pivotField showAll="0"/>
    <pivotField showAll="0"/>
    <pivotField axis="axisRow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showAll="0"/>
    <pivotField showAll="0"/>
    <pivotField numFmtId="10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2">
    <field x="8"/>
    <field x="14"/>
  </rowFields>
  <rowItems count="484">
    <i>
      <x/>
    </i>
    <i r="1">
      <x v="5"/>
    </i>
    <i r="1">
      <x v="6"/>
    </i>
    <i r="1">
      <x v="9"/>
    </i>
    <i r="1">
      <x v="11"/>
    </i>
    <i r="1">
      <x v="12"/>
    </i>
    <i r="1">
      <x v="17"/>
    </i>
    <i r="1">
      <x v="23"/>
    </i>
    <i>
      <x v="1"/>
    </i>
    <i r="1">
      <x v="7"/>
    </i>
    <i r="1">
      <x v="8"/>
    </i>
    <i r="1">
      <x v="12"/>
    </i>
    <i r="1">
      <x v="13"/>
    </i>
    <i r="1">
      <x v="15"/>
    </i>
    <i r="1">
      <x v="19"/>
    </i>
    <i r="1">
      <x v="22"/>
    </i>
    <i r="1">
      <x v="26"/>
    </i>
    <i r="1">
      <x v="30"/>
    </i>
    <i>
      <x v="2"/>
    </i>
    <i r="1">
      <x v="3"/>
    </i>
    <i r="1">
      <x v="5"/>
    </i>
    <i r="1">
      <x v="6"/>
    </i>
    <i r="1">
      <x v="7"/>
    </i>
    <i r="1">
      <x v="8"/>
    </i>
    <i r="1">
      <x v="13"/>
    </i>
    <i r="1">
      <x v="16"/>
    </i>
    <i r="1">
      <x v="20"/>
    </i>
    <i r="1">
      <x v="22"/>
    </i>
    <i r="1">
      <x v="23"/>
    </i>
    <i r="1">
      <x v="26"/>
    </i>
    <i r="1">
      <x v="29"/>
    </i>
    <i r="1">
      <x v="30"/>
    </i>
    <i>
      <x v="3"/>
    </i>
    <i r="1">
      <x v="2"/>
    </i>
    <i r="1">
      <x v="12"/>
    </i>
    <i r="1">
      <x v="13"/>
    </i>
    <i r="1">
      <x v="16"/>
    </i>
    <i r="1">
      <x v="17"/>
    </i>
    <i r="1">
      <x v="24"/>
    </i>
    <i r="1">
      <x v="25"/>
    </i>
    <i>
      <x v="4"/>
    </i>
    <i r="1">
      <x v="1"/>
    </i>
    <i r="1">
      <x v="3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30"/>
    </i>
    <i>
      <x v="5"/>
    </i>
    <i r="1">
      <x v="1"/>
    </i>
    <i r="1">
      <x v="3"/>
    </i>
    <i r="1">
      <x v="5"/>
    </i>
    <i r="1">
      <x v="8"/>
    </i>
    <i r="1">
      <x v="9"/>
    </i>
    <i r="1">
      <x v="11"/>
    </i>
    <i r="1">
      <x v="13"/>
    </i>
    <i r="1">
      <x v="15"/>
    </i>
    <i r="1">
      <x v="17"/>
    </i>
    <i r="1">
      <x v="19"/>
    </i>
    <i r="1">
      <x v="21"/>
    </i>
    <i r="1">
      <x v="26"/>
    </i>
    <i>
      <x v="6"/>
    </i>
    <i r="1">
      <x v="2"/>
    </i>
    <i r="1">
      <x v="3"/>
    </i>
    <i r="1">
      <x v="5"/>
    </i>
    <i r="1">
      <x v="8"/>
    </i>
    <i r="1">
      <x v="10"/>
    </i>
    <i r="1">
      <x v="15"/>
    </i>
    <i r="1">
      <x v="17"/>
    </i>
    <i r="1">
      <x v="21"/>
    </i>
    <i r="1">
      <x v="24"/>
    </i>
    <i r="1">
      <x v="25"/>
    </i>
    <i r="1">
      <x v="30"/>
    </i>
    <i>
      <x v="7"/>
    </i>
    <i r="1">
      <x v="2"/>
    </i>
    <i r="1">
      <x v="3"/>
    </i>
    <i r="1">
      <x v="6"/>
    </i>
    <i r="1">
      <x v="8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6"/>
    </i>
    <i r="1">
      <x v="27"/>
    </i>
    <i r="1">
      <x v="30"/>
    </i>
    <i>
      <x v="8"/>
    </i>
    <i r="1">
      <x v="1"/>
    </i>
    <i r="1">
      <x v="4"/>
    </i>
    <i r="1">
      <x v="5"/>
    </i>
    <i r="1">
      <x v="6"/>
    </i>
    <i r="1">
      <x v="9"/>
    </i>
    <i r="1">
      <x v="10"/>
    </i>
    <i r="1">
      <x v="12"/>
    </i>
    <i r="1">
      <x v="15"/>
    </i>
    <i r="1">
      <x v="17"/>
    </i>
    <i r="1">
      <x v="18"/>
    </i>
    <i r="1">
      <x v="19"/>
    </i>
    <i r="1">
      <x v="22"/>
    </i>
    <i r="1">
      <x v="23"/>
    </i>
    <i r="1">
      <x v="29"/>
    </i>
    <i>
      <x v="9"/>
    </i>
    <i r="1">
      <x v="5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9"/>
    </i>
    <i>
      <x v="10"/>
    </i>
    <i r="1">
      <x v="4"/>
    </i>
    <i r="1">
      <x v="6"/>
    </i>
    <i r="1">
      <x v="7"/>
    </i>
    <i r="1">
      <x v="11"/>
    </i>
    <i r="1">
      <x v="18"/>
    </i>
    <i r="1">
      <x v="20"/>
    </i>
    <i r="1">
      <x v="21"/>
    </i>
    <i r="1">
      <x v="24"/>
    </i>
    <i r="1">
      <x v="29"/>
    </i>
    <i>
      <x v="11"/>
    </i>
    <i r="1">
      <x v="1"/>
    </i>
    <i r="1">
      <x v="9"/>
    </i>
    <i r="1">
      <x v="12"/>
    </i>
    <i r="1">
      <x v="14"/>
    </i>
    <i r="1">
      <x v="18"/>
    </i>
    <i r="1">
      <x v="22"/>
    </i>
    <i r="1">
      <x v="23"/>
    </i>
    <i r="1">
      <x v="27"/>
    </i>
    <i r="1">
      <x v="30"/>
    </i>
    <i>
      <x v="12"/>
    </i>
    <i r="1">
      <x v="8"/>
    </i>
    <i r="1">
      <x v="9"/>
    </i>
    <i r="1">
      <x v="10"/>
    </i>
    <i r="1">
      <x v="14"/>
    </i>
    <i r="1">
      <x v="15"/>
    </i>
    <i r="1">
      <x v="20"/>
    </i>
    <i r="1">
      <x v="21"/>
    </i>
    <i r="1">
      <x v="24"/>
    </i>
    <i r="1">
      <x v="26"/>
    </i>
    <i r="1">
      <x v="27"/>
    </i>
    <i r="1">
      <x v="28"/>
    </i>
    <i>
      <x v="1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8"/>
    </i>
    <i r="1">
      <x v="19"/>
    </i>
    <i r="1">
      <x v="20"/>
    </i>
    <i r="1">
      <x v="25"/>
    </i>
    <i>
      <x v="14"/>
    </i>
    <i r="1">
      <x v="1"/>
    </i>
    <i r="1">
      <x v="7"/>
    </i>
    <i r="1">
      <x v="10"/>
    </i>
    <i r="1">
      <x v="13"/>
    </i>
    <i r="1">
      <x v="14"/>
    </i>
    <i r="1">
      <x v="19"/>
    </i>
    <i r="1">
      <x v="24"/>
    </i>
    <i r="1">
      <x v="26"/>
    </i>
    <i r="1">
      <x v="27"/>
    </i>
    <i r="1">
      <x v="29"/>
    </i>
    <i>
      <x v="15"/>
    </i>
    <i r="1">
      <x v="2"/>
    </i>
    <i r="1">
      <x v="3"/>
    </i>
    <i r="1">
      <x v="4"/>
    </i>
    <i r="1">
      <x v="5"/>
    </i>
    <i r="1">
      <x v="11"/>
    </i>
    <i r="1">
      <x v="15"/>
    </i>
    <i r="1">
      <x v="18"/>
    </i>
    <i r="1">
      <x v="20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>
      <x v="16"/>
    </i>
    <i r="1">
      <x v="1"/>
    </i>
    <i r="1">
      <x v="2"/>
    </i>
    <i r="1">
      <x v="3"/>
    </i>
    <i r="1">
      <x v="11"/>
    </i>
    <i r="1">
      <x v="12"/>
    </i>
    <i r="1">
      <x v="17"/>
    </i>
    <i r="1">
      <x v="18"/>
    </i>
    <i r="1">
      <x v="19"/>
    </i>
    <i r="1">
      <x v="28"/>
    </i>
    <i r="1">
      <x v="30"/>
    </i>
    <i>
      <x v="17"/>
    </i>
    <i r="1">
      <x v="6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20"/>
    </i>
    <i r="1">
      <x v="25"/>
    </i>
    <i>
      <x v="18"/>
    </i>
    <i r="1">
      <x v="2"/>
    </i>
    <i r="1">
      <x v="6"/>
    </i>
    <i r="1">
      <x v="9"/>
    </i>
    <i r="1">
      <x v="10"/>
    </i>
    <i r="1">
      <x v="15"/>
    </i>
    <i r="1">
      <x v="16"/>
    </i>
    <i r="1">
      <x v="19"/>
    </i>
    <i r="1">
      <x v="20"/>
    </i>
    <i r="1">
      <x v="22"/>
    </i>
    <i r="1">
      <x v="24"/>
    </i>
    <i r="1">
      <x v="25"/>
    </i>
    <i r="1">
      <x v="26"/>
    </i>
    <i>
      <x v="19"/>
    </i>
    <i r="1">
      <x v="2"/>
    </i>
    <i r="1">
      <x v="3"/>
    </i>
    <i r="1">
      <x v="4"/>
    </i>
    <i r="1">
      <x v="10"/>
    </i>
    <i r="1">
      <x v="21"/>
    </i>
    <i r="1">
      <x v="23"/>
    </i>
    <i r="1">
      <x v="24"/>
    </i>
    <i r="1">
      <x v="29"/>
    </i>
    <i>
      <x v="20"/>
    </i>
    <i r="1">
      <x v="1"/>
    </i>
    <i r="1">
      <x v="5"/>
    </i>
    <i r="1">
      <x v="9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7"/>
    </i>
    <i>
      <x v="21"/>
    </i>
    <i r="1">
      <x v="1"/>
    </i>
    <i r="1">
      <x v="5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23"/>
    </i>
    <i r="1">
      <x v="29"/>
    </i>
    <i>
      <x v="22"/>
    </i>
    <i r="1">
      <x v="8"/>
    </i>
    <i r="1">
      <x v="9"/>
    </i>
    <i r="1">
      <x v="12"/>
    </i>
    <i r="1">
      <x v="17"/>
    </i>
    <i r="1">
      <x v="18"/>
    </i>
    <i r="1">
      <x v="22"/>
    </i>
    <i r="1">
      <x v="23"/>
    </i>
    <i r="1">
      <x v="26"/>
    </i>
    <i>
      <x v="23"/>
    </i>
    <i r="1">
      <x v="3"/>
    </i>
    <i r="1">
      <x v="4"/>
    </i>
    <i r="1">
      <x v="7"/>
    </i>
    <i r="1">
      <x v="11"/>
    </i>
    <i r="1">
      <x v="12"/>
    </i>
    <i r="1">
      <x v="14"/>
    </i>
    <i r="1">
      <x v="20"/>
    </i>
    <i r="1">
      <x v="21"/>
    </i>
    <i r="1">
      <x v="22"/>
    </i>
    <i r="1">
      <x v="24"/>
    </i>
    <i r="1">
      <x v="26"/>
    </i>
    <i>
      <x v="24"/>
    </i>
    <i r="1">
      <x v="2"/>
    </i>
    <i r="1">
      <x v="5"/>
    </i>
    <i r="1">
      <x v="6"/>
    </i>
    <i r="1">
      <x v="11"/>
    </i>
    <i r="1">
      <x v="13"/>
    </i>
    <i r="1">
      <x v="15"/>
    </i>
    <i r="1">
      <x v="16"/>
    </i>
    <i r="1">
      <x v="19"/>
    </i>
    <i r="1">
      <x v="24"/>
    </i>
    <i r="1">
      <x v="28"/>
    </i>
    <i r="1">
      <x v="29"/>
    </i>
    <i>
      <x v="25"/>
    </i>
    <i r="1">
      <x v="2"/>
    </i>
    <i r="1">
      <x v="3"/>
    </i>
    <i r="1">
      <x v="6"/>
    </i>
    <i r="1">
      <x v="10"/>
    </i>
    <i r="1">
      <x v="12"/>
    </i>
    <i r="1">
      <x v="14"/>
    </i>
    <i r="1">
      <x v="22"/>
    </i>
    <i r="1">
      <x v="23"/>
    </i>
    <i r="1">
      <x v="28"/>
    </i>
    <i r="1">
      <x v="29"/>
    </i>
    <i r="1">
      <x v="30"/>
    </i>
    <i>
      <x v="26"/>
    </i>
    <i r="1">
      <x v="1"/>
    </i>
    <i r="1">
      <x v="4"/>
    </i>
    <i r="1">
      <x v="10"/>
    </i>
    <i r="1">
      <x v="12"/>
    </i>
    <i r="1">
      <x v="14"/>
    </i>
    <i r="1">
      <x v="15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7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6"/>
    </i>
    <i r="1">
      <x v="21"/>
    </i>
    <i r="1">
      <x v="22"/>
    </i>
    <i r="1">
      <x v="30"/>
    </i>
    <i>
      <x v="28"/>
    </i>
    <i r="1">
      <x v="4"/>
    </i>
    <i r="1">
      <x v="5"/>
    </i>
    <i r="1">
      <x v="8"/>
    </i>
    <i r="1">
      <x v="9"/>
    </i>
    <i r="1">
      <x v="12"/>
    </i>
    <i r="1">
      <x v="14"/>
    </i>
    <i r="1">
      <x v="15"/>
    </i>
    <i r="1">
      <x v="17"/>
    </i>
    <i r="1">
      <x v="19"/>
    </i>
    <i r="1">
      <x v="20"/>
    </i>
    <i r="1">
      <x v="25"/>
    </i>
    <i r="1">
      <x v="27"/>
    </i>
    <i r="1">
      <x v="28"/>
    </i>
    <i>
      <x v="29"/>
    </i>
    <i r="1">
      <x v="3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26"/>
    </i>
    <i r="1">
      <x v="28"/>
    </i>
    <i r="1">
      <x v="29"/>
    </i>
    <i r="1">
      <x v="30"/>
    </i>
    <i>
      <x v="30"/>
    </i>
    <i r="1">
      <x v="5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21"/>
    </i>
    <i r="1">
      <x v="22"/>
    </i>
    <i r="1">
      <x v="28"/>
    </i>
    <i r="1">
      <x v="29"/>
    </i>
    <i>
      <x v="31"/>
    </i>
    <i r="1">
      <x v="3"/>
    </i>
    <i r="1">
      <x v="4"/>
    </i>
    <i r="1">
      <x v="6"/>
    </i>
    <i r="1">
      <x v="9"/>
    </i>
    <i r="1">
      <x v="13"/>
    </i>
    <i r="1">
      <x v="15"/>
    </i>
    <i r="1">
      <x v="18"/>
    </i>
    <i r="1">
      <x v="21"/>
    </i>
    <i r="1">
      <x v="24"/>
    </i>
    <i r="1">
      <x v="25"/>
    </i>
    <i r="1">
      <x v="27"/>
    </i>
    <i r="1">
      <x v="28"/>
    </i>
    <i>
      <x v="32"/>
    </i>
    <i r="1">
      <x v="3"/>
    </i>
    <i r="1">
      <x v="4"/>
    </i>
    <i r="1">
      <x v="12"/>
    </i>
    <i r="1">
      <x v="15"/>
    </i>
    <i r="1">
      <x v="20"/>
    </i>
    <i r="1">
      <x v="21"/>
    </i>
    <i r="1">
      <x v="22"/>
    </i>
    <i r="1">
      <x v="23"/>
    </i>
    <i r="1">
      <x v="24"/>
    </i>
    <i r="1">
      <x v="25"/>
    </i>
    <i>
      <x v="33"/>
    </i>
    <i r="1">
      <x v="2"/>
    </i>
    <i r="1">
      <x v="5"/>
    </i>
    <i r="1">
      <x v="9"/>
    </i>
    <i r="1">
      <x v="10"/>
    </i>
    <i r="1">
      <x v="12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>
      <x v="34"/>
    </i>
    <i r="1">
      <x v="1"/>
    </i>
    <i r="1">
      <x v="2"/>
    </i>
    <i r="1">
      <x v="11"/>
    </i>
    <i r="1">
      <x v="12"/>
    </i>
    <i r="1">
      <x v="13"/>
    </i>
    <i r="1">
      <x v="21"/>
    </i>
    <i r="1">
      <x v="22"/>
    </i>
    <i r="1">
      <x v="24"/>
    </i>
    <i r="1">
      <x v="26"/>
    </i>
    <i r="1">
      <x v="28"/>
    </i>
    <i r="1">
      <x v="30"/>
    </i>
    <i>
      <x v="35"/>
    </i>
    <i r="1">
      <x v="1"/>
    </i>
    <i r="1">
      <x v="2"/>
    </i>
    <i r="1">
      <x v="3"/>
    </i>
    <i r="1">
      <x v="4"/>
    </i>
    <i r="1">
      <x v="16"/>
    </i>
    <i r="1">
      <x v="17"/>
    </i>
    <i r="1">
      <x v="19"/>
    </i>
    <i r="1">
      <x v="20"/>
    </i>
    <i r="1">
      <x v="24"/>
    </i>
    <i r="1">
      <x v="26"/>
    </i>
    <i r="1">
      <x v="28"/>
    </i>
    <i r="1">
      <x v="29"/>
    </i>
    <i>
      <x v="3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12"/>
    </i>
    <i r="1">
      <x v="16"/>
    </i>
    <i r="1">
      <x v="17"/>
    </i>
    <i r="1">
      <x v="20"/>
    </i>
    <i r="1">
      <x v="21"/>
    </i>
    <i r="1">
      <x v="23"/>
    </i>
    <i r="1">
      <x v="27"/>
    </i>
    <i r="1">
      <x v="28"/>
    </i>
    <i r="1">
      <x v="29"/>
    </i>
    <i r="1">
      <x v="30"/>
    </i>
    <i>
      <x v="37"/>
    </i>
    <i r="1">
      <x v="5"/>
    </i>
    <i r="1">
      <x v="6"/>
    </i>
    <i r="1">
      <x v="9"/>
    </i>
    <i r="1">
      <x v="10"/>
    </i>
    <i r="1">
      <x v="15"/>
    </i>
    <i r="1">
      <x v="22"/>
    </i>
    <i r="1">
      <x v="23"/>
    </i>
    <i r="1">
      <x v="28"/>
    </i>
    <i>
      <x v="38"/>
    </i>
    <i r="1">
      <x v="2"/>
    </i>
    <i r="1">
      <x v="5"/>
    </i>
    <i r="1">
      <x v="9"/>
    </i>
    <i r="1">
      <x v="10"/>
    </i>
    <i r="1">
      <x v="16"/>
    </i>
    <i r="1">
      <x v="17"/>
    </i>
    <i r="1">
      <x v="18"/>
    </i>
    <i r="1">
      <x v="22"/>
    </i>
    <i r="1">
      <x v="23"/>
    </i>
    <i r="1">
      <x v="29"/>
    </i>
    <i>
      <x v="39"/>
    </i>
    <i r="1">
      <x v="1"/>
    </i>
    <i r="1">
      <x v="3"/>
    </i>
    <i r="1">
      <x v="8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3"/>
    </i>
    <i r="1">
      <x v="29"/>
    </i>
    <i r="1">
      <x v="30"/>
    </i>
    <i t="grand">
      <x/>
    </i>
  </rowItems>
  <colItems count="1">
    <i/>
  </colItems>
  <dataFields count="1">
    <dataField name="Sum of amount" fld="4" baseField="1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BFC9E-0FF3-404D-A881-00527FCF6B5C}" name="PivotTable1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0" firstDataRow="1" firstDataCol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3">
    <field x="4"/>
    <field x="0"/>
    <field x="1"/>
  </rowFields>
  <rowItems count="22">
    <i>
      <x/>
    </i>
    <i r="1">
      <x/>
    </i>
    <i r="2">
      <x/>
    </i>
    <i r="2">
      <x v="1"/>
    </i>
    <i>
      <x v="1"/>
    </i>
    <i r="1">
      <x v="1"/>
    </i>
    <i r="2">
      <x/>
    </i>
    <i>
      <x v="2"/>
    </i>
    <i r="1">
      <x v="2"/>
    </i>
    <i r="2">
      <x/>
    </i>
    <i r="2">
      <x v="2"/>
    </i>
    <i r="2">
      <x v="1"/>
    </i>
    <i>
      <x v="3"/>
    </i>
    <i r="1">
      <x v="3"/>
    </i>
    <i r="2">
      <x/>
    </i>
    <i r="2">
      <x v="2"/>
    </i>
    <i r="2">
      <x v="1"/>
    </i>
    <i>
      <x v="4"/>
    </i>
    <i r="1">
      <x v="4"/>
    </i>
    <i r="2">
      <x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_inr" fld="2" baseField="0" baseItem="0"/>
    <dataField name="Count of transaction_id" fld="3" subtotal="count" baseField="0" baseItem="0"/>
    <dataField name="Distinct Count of date_transaction" fld="5" subtotal="count" baseField="4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date_transaction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2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-views!$A$1:$N$5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7CE633-B271-4D05-B434-8C8ADA55872D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l5ojnf5Hog3U-2Xj6uFP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C23B-0BFB-4025-A14C-BA3402E3C3BF}">
  <dimension ref="A3:B487"/>
  <sheetViews>
    <sheetView workbookViewId="0">
      <selection activeCell="A5" sqref="A5:A11"/>
    </sheetView>
  </sheetViews>
  <sheetFormatPr defaultRowHeight="14.4" x14ac:dyDescent="0.3"/>
  <cols>
    <col min="1" max="1" width="15.33203125" bestFit="1" customWidth="1"/>
    <col min="2" max="2" width="14.21875" bestFit="1" customWidth="1"/>
  </cols>
  <sheetData>
    <row r="3" spans="1:2" x14ac:dyDescent="0.3">
      <c r="A3" s="3" t="s">
        <v>621</v>
      </c>
      <c r="B3" t="s">
        <v>654</v>
      </c>
    </row>
    <row r="4" spans="1:2" x14ac:dyDescent="0.3">
      <c r="A4" s="4" t="s">
        <v>565</v>
      </c>
      <c r="B4" s="5">
        <v>10441</v>
      </c>
    </row>
    <row r="5" spans="1:2" x14ac:dyDescent="0.3">
      <c r="A5" s="6" t="s">
        <v>624</v>
      </c>
      <c r="B5" s="5">
        <v>1499</v>
      </c>
    </row>
    <row r="6" spans="1:2" x14ac:dyDescent="0.3">
      <c r="A6" s="6" t="s">
        <v>625</v>
      </c>
      <c r="B6" s="5">
        <v>149</v>
      </c>
    </row>
    <row r="7" spans="1:2" x14ac:dyDescent="0.3">
      <c r="A7" s="6" t="s">
        <v>626</v>
      </c>
      <c r="B7" s="5">
        <v>5048</v>
      </c>
    </row>
    <row r="8" spans="1:2" x14ac:dyDescent="0.3">
      <c r="A8" s="6" t="s">
        <v>627</v>
      </c>
      <c r="B8" s="5">
        <v>299</v>
      </c>
    </row>
    <row r="9" spans="1:2" x14ac:dyDescent="0.3">
      <c r="A9" s="6" t="s">
        <v>628</v>
      </c>
      <c r="B9" s="5">
        <v>149</v>
      </c>
    </row>
    <row r="10" spans="1:2" x14ac:dyDescent="0.3">
      <c r="A10" s="6" t="s">
        <v>629</v>
      </c>
      <c r="B10" s="5">
        <v>149</v>
      </c>
    </row>
    <row r="11" spans="1:2" x14ac:dyDescent="0.3">
      <c r="A11" s="6" t="s">
        <v>630</v>
      </c>
      <c r="B11" s="5">
        <v>3148</v>
      </c>
    </row>
    <row r="12" spans="1:2" x14ac:dyDescent="0.3">
      <c r="A12" s="4" t="s">
        <v>568</v>
      </c>
      <c r="B12" s="5">
        <v>3640</v>
      </c>
    </row>
    <row r="13" spans="1:2" x14ac:dyDescent="0.3">
      <c r="A13" s="6" t="s">
        <v>631</v>
      </c>
      <c r="B13" s="5">
        <v>499</v>
      </c>
    </row>
    <row r="14" spans="1:2" x14ac:dyDescent="0.3">
      <c r="A14" s="6" t="s">
        <v>632</v>
      </c>
      <c r="B14" s="5">
        <v>299</v>
      </c>
    </row>
    <row r="15" spans="1:2" x14ac:dyDescent="0.3">
      <c r="A15" s="6" t="s">
        <v>628</v>
      </c>
      <c r="B15" s="5">
        <v>348</v>
      </c>
    </row>
    <row r="16" spans="1:2" x14ac:dyDescent="0.3">
      <c r="A16" s="6" t="s">
        <v>633</v>
      </c>
      <c r="B16" s="5">
        <v>49</v>
      </c>
    </row>
    <row r="17" spans="1:2" x14ac:dyDescent="0.3">
      <c r="A17" s="6" t="s">
        <v>634</v>
      </c>
      <c r="B17" s="5">
        <v>1499</v>
      </c>
    </row>
    <row r="18" spans="1:2" x14ac:dyDescent="0.3">
      <c r="A18" s="6" t="s">
        <v>635</v>
      </c>
      <c r="B18" s="5">
        <v>49</v>
      </c>
    </row>
    <row r="19" spans="1:2" x14ac:dyDescent="0.3">
      <c r="A19" s="6" t="s">
        <v>636</v>
      </c>
      <c r="B19" s="5">
        <v>299</v>
      </c>
    </row>
    <row r="20" spans="1:2" x14ac:dyDescent="0.3">
      <c r="A20" s="6" t="s">
        <v>637</v>
      </c>
      <c r="B20" s="5">
        <v>299</v>
      </c>
    </row>
    <row r="21" spans="1:2" x14ac:dyDescent="0.3">
      <c r="A21" s="6" t="s">
        <v>638</v>
      </c>
      <c r="B21" s="5">
        <v>299</v>
      </c>
    </row>
    <row r="22" spans="1:2" x14ac:dyDescent="0.3">
      <c r="A22" s="4" t="s">
        <v>571</v>
      </c>
      <c r="B22" s="5">
        <v>8233</v>
      </c>
    </row>
    <row r="23" spans="1:2" x14ac:dyDescent="0.3">
      <c r="A23" s="6" t="s">
        <v>639</v>
      </c>
      <c r="B23" s="5">
        <v>198</v>
      </c>
    </row>
    <row r="24" spans="1:2" x14ac:dyDescent="0.3">
      <c r="A24" s="6" t="s">
        <v>624</v>
      </c>
      <c r="B24" s="5">
        <v>99</v>
      </c>
    </row>
    <row r="25" spans="1:2" x14ac:dyDescent="0.3">
      <c r="A25" s="6" t="s">
        <v>625</v>
      </c>
      <c r="B25" s="5">
        <v>898</v>
      </c>
    </row>
    <row r="26" spans="1:2" x14ac:dyDescent="0.3">
      <c r="A26" s="6" t="s">
        <v>631</v>
      </c>
      <c r="B26" s="5">
        <v>798</v>
      </c>
    </row>
    <row r="27" spans="1:2" x14ac:dyDescent="0.3">
      <c r="A27" s="6" t="s">
        <v>632</v>
      </c>
      <c r="B27" s="5">
        <v>149</v>
      </c>
    </row>
    <row r="28" spans="1:2" x14ac:dyDescent="0.3">
      <c r="A28" s="6" t="s">
        <v>633</v>
      </c>
      <c r="B28" s="5">
        <v>198</v>
      </c>
    </row>
    <row r="29" spans="1:2" x14ac:dyDescent="0.3">
      <c r="A29" s="6" t="s">
        <v>640</v>
      </c>
      <c r="B29" s="5">
        <v>4999</v>
      </c>
    </row>
    <row r="30" spans="1:2" x14ac:dyDescent="0.3">
      <c r="A30" s="6" t="s">
        <v>641</v>
      </c>
      <c r="B30" s="5">
        <v>99</v>
      </c>
    </row>
    <row r="31" spans="1:2" x14ac:dyDescent="0.3">
      <c r="A31" s="6" t="s">
        <v>636</v>
      </c>
      <c r="B31" s="5">
        <v>499</v>
      </c>
    </row>
    <row r="32" spans="1:2" x14ac:dyDescent="0.3">
      <c r="A32" s="6" t="s">
        <v>630</v>
      </c>
      <c r="B32" s="5">
        <v>49</v>
      </c>
    </row>
    <row r="33" spans="1:2" x14ac:dyDescent="0.3">
      <c r="A33" s="6" t="s">
        <v>637</v>
      </c>
      <c r="B33" s="5">
        <v>149</v>
      </c>
    </row>
    <row r="34" spans="1:2" x14ac:dyDescent="0.3">
      <c r="A34" s="6" t="s">
        <v>642</v>
      </c>
      <c r="B34" s="5">
        <v>49</v>
      </c>
    </row>
    <row r="35" spans="1:2" x14ac:dyDescent="0.3">
      <c r="A35" s="6" t="s">
        <v>638</v>
      </c>
      <c r="B35" s="5">
        <v>49</v>
      </c>
    </row>
    <row r="36" spans="1:2" x14ac:dyDescent="0.3">
      <c r="A36" s="4" t="s">
        <v>573</v>
      </c>
      <c r="B36" s="5">
        <v>6941</v>
      </c>
    </row>
    <row r="37" spans="1:2" x14ac:dyDescent="0.3">
      <c r="A37" s="6" t="s">
        <v>643</v>
      </c>
      <c r="B37" s="5">
        <v>149</v>
      </c>
    </row>
    <row r="38" spans="1:2" x14ac:dyDescent="0.3">
      <c r="A38" s="6" t="s">
        <v>628</v>
      </c>
      <c r="B38" s="5">
        <v>49</v>
      </c>
    </row>
    <row r="39" spans="1:2" x14ac:dyDescent="0.3">
      <c r="A39" s="6" t="s">
        <v>633</v>
      </c>
      <c r="B39" s="5">
        <v>948</v>
      </c>
    </row>
    <row r="40" spans="1:2" x14ac:dyDescent="0.3">
      <c r="A40" s="6" t="s">
        <v>640</v>
      </c>
      <c r="B40" s="5">
        <v>799</v>
      </c>
    </row>
    <row r="41" spans="1:2" x14ac:dyDescent="0.3">
      <c r="A41" s="6" t="s">
        <v>629</v>
      </c>
      <c r="B41" s="5">
        <v>1499</v>
      </c>
    </row>
    <row r="42" spans="1:2" x14ac:dyDescent="0.3">
      <c r="A42" s="6" t="s">
        <v>644</v>
      </c>
      <c r="B42" s="5">
        <v>1499</v>
      </c>
    </row>
    <row r="43" spans="1:2" x14ac:dyDescent="0.3">
      <c r="A43" s="6" t="s">
        <v>645</v>
      </c>
      <c r="B43" s="5">
        <v>1998</v>
      </c>
    </row>
    <row r="44" spans="1:2" x14ac:dyDescent="0.3">
      <c r="A44" s="4" t="s">
        <v>574</v>
      </c>
      <c r="B44" s="5">
        <v>5839</v>
      </c>
    </row>
    <row r="45" spans="1:2" x14ac:dyDescent="0.3">
      <c r="A45" s="6" t="s">
        <v>646</v>
      </c>
      <c r="B45" s="5">
        <v>499</v>
      </c>
    </row>
    <row r="46" spans="1:2" x14ac:dyDescent="0.3">
      <c r="A46" s="6" t="s">
        <v>639</v>
      </c>
      <c r="B46" s="5">
        <v>499</v>
      </c>
    </row>
    <row r="47" spans="1:2" x14ac:dyDescent="0.3">
      <c r="A47" s="6" t="s">
        <v>626</v>
      </c>
      <c r="B47" s="5">
        <v>348</v>
      </c>
    </row>
    <row r="48" spans="1:2" x14ac:dyDescent="0.3">
      <c r="A48" s="6" t="s">
        <v>647</v>
      </c>
      <c r="B48" s="5">
        <v>99</v>
      </c>
    </row>
    <row r="49" spans="1:2" x14ac:dyDescent="0.3">
      <c r="A49" s="6" t="s">
        <v>634</v>
      </c>
      <c r="B49" s="5">
        <v>548</v>
      </c>
    </row>
    <row r="50" spans="1:2" x14ac:dyDescent="0.3">
      <c r="A50" s="6" t="s">
        <v>629</v>
      </c>
      <c r="B50" s="5">
        <v>499</v>
      </c>
    </row>
    <row r="51" spans="1:2" x14ac:dyDescent="0.3">
      <c r="A51" s="6" t="s">
        <v>648</v>
      </c>
      <c r="B51" s="5">
        <v>299</v>
      </c>
    </row>
    <row r="52" spans="1:2" x14ac:dyDescent="0.3">
      <c r="A52" s="6" t="s">
        <v>635</v>
      </c>
      <c r="B52" s="5">
        <v>49</v>
      </c>
    </row>
    <row r="53" spans="1:2" x14ac:dyDescent="0.3">
      <c r="A53" s="6" t="s">
        <v>638</v>
      </c>
      <c r="B53" s="5">
        <v>2999</v>
      </c>
    </row>
    <row r="54" spans="1:2" x14ac:dyDescent="0.3">
      <c r="A54" s="4" t="s">
        <v>576</v>
      </c>
      <c r="B54" s="5">
        <v>7436</v>
      </c>
    </row>
    <row r="55" spans="1:2" x14ac:dyDescent="0.3">
      <c r="A55" s="6" t="s">
        <v>646</v>
      </c>
      <c r="B55" s="5">
        <v>49</v>
      </c>
    </row>
    <row r="56" spans="1:2" x14ac:dyDescent="0.3">
      <c r="A56" s="6" t="s">
        <v>639</v>
      </c>
      <c r="B56" s="5">
        <v>799</v>
      </c>
    </row>
    <row r="57" spans="1:2" x14ac:dyDescent="0.3">
      <c r="A57" s="6" t="s">
        <v>624</v>
      </c>
      <c r="B57" s="5">
        <v>1499</v>
      </c>
    </row>
    <row r="58" spans="1:2" x14ac:dyDescent="0.3">
      <c r="A58" s="6" t="s">
        <v>632</v>
      </c>
      <c r="B58" s="5">
        <v>149</v>
      </c>
    </row>
    <row r="59" spans="1:2" x14ac:dyDescent="0.3">
      <c r="A59" s="6" t="s">
        <v>626</v>
      </c>
      <c r="B59" s="5">
        <v>99</v>
      </c>
    </row>
    <row r="60" spans="1:2" x14ac:dyDescent="0.3">
      <c r="A60" s="6" t="s">
        <v>627</v>
      </c>
      <c r="B60" s="5">
        <v>1499</v>
      </c>
    </row>
    <row r="61" spans="1:2" x14ac:dyDescent="0.3">
      <c r="A61" s="6" t="s">
        <v>633</v>
      </c>
      <c r="B61" s="5">
        <v>1499</v>
      </c>
    </row>
    <row r="62" spans="1:2" x14ac:dyDescent="0.3">
      <c r="A62" s="6" t="s">
        <v>634</v>
      </c>
      <c r="B62" s="5">
        <v>49</v>
      </c>
    </row>
    <row r="63" spans="1:2" x14ac:dyDescent="0.3">
      <c r="A63" s="6" t="s">
        <v>629</v>
      </c>
      <c r="B63" s="5">
        <v>799</v>
      </c>
    </row>
    <row r="64" spans="1:2" x14ac:dyDescent="0.3">
      <c r="A64" s="6" t="s">
        <v>635</v>
      </c>
      <c r="B64" s="5">
        <v>49</v>
      </c>
    </row>
    <row r="65" spans="1:2" x14ac:dyDescent="0.3">
      <c r="A65" s="6" t="s">
        <v>649</v>
      </c>
      <c r="B65" s="5">
        <v>49</v>
      </c>
    </row>
    <row r="66" spans="1:2" x14ac:dyDescent="0.3">
      <c r="A66" s="6" t="s">
        <v>637</v>
      </c>
      <c r="B66" s="5">
        <v>897</v>
      </c>
    </row>
    <row r="67" spans="1:2" x14ac:dyDescent="0.3">
      <c r="A67" s="4" t="s">
        <v>578</v>
      </c>
      <c r="B67" s="5">
        <v>15934</v>
      </c>
    </row>
    <row r="68" spans="1:2" x14ac:dyDescent="0.3">
      <c r="A68" s="6" t="s">
        <v>643</v>
      </c>
      <c r="B68" s="5">
        <v>3797</v>
      </c>
    </row>
    <row r="69" spans="1:2" x14ac:dyDescent="0.3">
      <c r="A69" s="6" t="s">
        <v>639</v>
      </c>
      <c r="B69" s="5">
        <v>149</v>
      </c>
    </row>
    <row r="70" spans="1:2" x14ac:dyDescent="0.3">
      <c r="A70" s="6" t="s">
        <v>624</v>
      </c>
      <c r="B70" s="5">
        <v>4498</v>
      </c>
    </row>
    <row r="71" spans="1:2" x14ac:dyDescent="0.3">
      <c r="A71" s="6" t="s">
        <v>632</v>
      </c>
      <c r="B71" s="5">
        <v>299</v>
      </c>
    </row>
    <row r="72" spans="1:2" x14ac:dyDescent="0.3">
      <c r="A72" s="6" t="s">
        <v>647</v>
      </c>
      <c r="B72" s="5">
        <v>499</v>
      </c>
    </row>
    <row r="73" spans="1:2" x14ac:dyDescent="0.3">
      <c r="A73" s="6" t="s">
        <v>634</v>
      </c>
      <c r="B73" s="5">
        <v>1648</v>
      </c>
    </row>
    <row r="74" spans="1:2" x14ac:dyDescent="0.3">
      <c r="A74" s="6" t="s">
        <v>629</v>
      </c>
      <c r="B74" s="5">
        <v>149</v>
      </c>
    </row>
    <row r="75" spans="1:2" x14ac:dyDescent="0.3">
      <c r="A75" s="6" t="s">
        <v>649</v>
      </c>
      <c r="B75" s="5">
        <v>1499</v>
      </c>
    </row>
    <row r="76" spans="1:2" x14ac:dyDescent="0.3">
      <c r="A76" s="6" t="s">
        <v>644</v>
      </c>
      <c r="B76" s="5">
        <v>1298</v>
      </c>
    </row>
    <row r="77" spans="1:2" x14ac:dyDescent="0.3">
      <c r="A77" s="6" t="s">
        <v>645</v>
      </c>
      <c r="B77" s="5">
        <v>99</v>
      </c>
    </row>
    <row r="78" spans="1:2" x14ac:dyDescent="0.3">
      <c r="A78" s="6" t="s">
        <v>638</v>
      </c>
      <c r="B78" s="5">
        <v>1999</v>
      </c>
    </row>
    <row r="79" spans="1:2" x14ac:dyDescent="0.3">
      <c r="A79" s="4" t="s">
        <v>579</v>
      </c>
      <c r="B79" s="5">
        <v>7434</v>
      </c>
    </row>
    <row r="80" spans="1:2" x14ac:dyDescent="0.3">
      <c r="A80" s="6" t="s">
        <v>643</v>
      </c>
      <c r="B80" s="5">
        <v>299</v>
      </c>
    </row>
    <row r="81" spans="1:2" x14ac:dyDescent="0.3">
      <c r="A81" s="6" t="s">
        <v>639</v>
      </c>
      <c r="B81" s="5">
        <v>299</v>
      </c>
    </row>
    <row r="82" spans="1:2" x14ac:dyDescent="0.3">
      <c r="A82" s="6" t="s">
        <v>625</v>
      </c>
      <c r="B82" s="5">
        <v>49</v>
      </c>
    </row>
    <row r="83" spans="1:2" x14ac:dyDescent="0.3">
      <c r="A83" s="6" t="s">
        <v>632</v>
      </c>
      <c r="B83" s="5">
        <v>99</v>
      </c>
    </row>
    <row r="84" spans="1:2" x14ac:dyDescent="0.3">
      <c r="A84" s="6" t="s">
        <v>627</v>
      </c>
      <c r="B84" s="5">
        <v>149</v>
      </c>
    </row>
    <row r="85" spans="1:2" x14ac:dyDescent="0.3">
      <c r="A85" s="6" t="s">
        <v>628</v>
      </c>
      <c r="B85" s="5">
        <v>398</v>
      </c>
    </row>
    <row r="86" spans="1:2" x14ac:dyDescent="0.3">
      <c r="A86" s="6" t="s">
        <v>640</v>
      </c>
      <c r="B86" s="5">
        <v>2999</v>
      </c>
    </row>
    <row r="87" spans="1:2" x14ac:dyDescent="0.3">
      <c r="A87" s="6" t="s">
        <v>629</v>
      </c>
      <c r="B87" s="5">
        <v>348</v>
      </c>
    </row>
    <row r="88" spans="1:2" x14ac:dyDescent="0.3">
      <c r="A88" s="6" t="s">
        <v>648</v>
      </c>
      <c r="B88" s="5">
        <v>499</v>
      </c>
    </row>
    <row r="89" spans="1:2" x14ac:dyDescent="0.3">
      <c r="A89" s="6" t="s">
        <v>635</v>
      </c>
      <c r="B89" s="5">
        <v>99</v>
      </c>
    </row>
    <row r="90" spans="1:2" x14ac:dyDescent="0.3">
      <c r="A90" s="6" t="s">
        <v>637</v>
      </c>
      <c r="B90" s="5">
        <v>598</v>
      </c>
    </row>
    <row r="91" spans="1:2" x14ac:dyDescent="0.3">
      <c r="A91" s="6" t="s">
        <v>650</v>
      </c>
      <c r="B91" s="5">
        <v>1499</v>
      </c>
    </row>
    <row r="92" spans="1:2" x14ac:dyDescent="0.3">
      <c r="A92" s="6" t="s">
        <v>638</v>
      </c>
      <c r="B92" s="5">
        <v>99</v>
      </c>
    </row>
    <row r="93" spans="1:2" x14ac:dyDescent="0.3">
      <c r="A93" s="4" t="s">
        <v>581</v>
      </c>
      <c r="B93" s="5">
        <v>4982</v>
      </c>
    </row>
    <row r="94" spans="1:2" x14ac:dyDescent="0.3">
      <c r="A94" s="6" t="s">
        <v>646</v>
      </c>
      <c r="B94" s="5">
        <v>499</v>
      </c>
    </row>
    <row r="95" spans="1:2" x14ac:dyDescent="0.3">
      <c r="A95" s="6" t="s">
        <v>651</v>
      </c>
      <c r="B95" s="5">
        <v>499</v>
      </c>
    </row>
    <row r="96" spans="1:2" x14ac:dyDescent="0.3">
      <c r="A96" s="6" t="s">
        <v>624</v>
      </c>
      <c r="B96" s="5">
        <v>149</v>
      </c>
    </row>
    <row r="97" spans="1:2" x14ac:dyDescent="0.3">
      <c r="A97" s="6" t="s">
        <v>625</v>
      </c>
      <c r="B97" s="5">
        <v>149</v>
      </c>
    </row>
    <row r="98" spans="1:2" x14ac:dyDescent="0.3">
      <c r="A98" s="6" t="s">
        <v>626</v>
      </c>
      <c r="B98" s="5">
        <v>99</v>
      </c>
    </row>
    <row r="99" spans="1:2" x14ac:dyDescent="0.3">
      <c r="A99" s="6" t="s">
        <v>647</v>
      </c>
      <c r="B99" s="5">
        <v>49</v>
      </c>
    </row>
    <row r="100" spans="1:2" x14ac:dyDescent="0.3">
      <c r="A100" s="6" t="s">
        <v>628</v>
      </c>
      <c r="B100" s="5">
        <v>299</v>
      </c>
    </row>
    <row r="101" spans="1:2" x14ac:dyDescent="0.3">
      <c r="A101" s="6" t="s">
        <v>634</v>
      </c>
      <c r="B101" s="5">
        <v>148</v>
      </c>
    </row>
    <row r="102" spans="1:2" x14ac:dyDescent="0.3">
      <c r="A102" s="6" t="s">
        <v>629</v>
      </c>
      <c r="B102" s="5">
        <v>248</v>
      </c>
    </row>
    <row r="103" spans="1:2" x14ac:dyDescent="0.3">
      <c r="A103" s="6" t="s">
        <v>648</v>
      </c>
      <c r="B103" s="5">
        <v>299</v>
      </c>
    </row>
    <row r="104" spans="1:2" x14ac:dyDescent="0.3">
      <c r="A104" s="6" t="s">
        <v>635</v>
      </c>
      <c r="B104" s="5">
        <v>299</v>
      </c>
    </row>
    <row r="105" spans="1:2" x14ac:dyDescent="0.3">
      <c r="A105" s="6" t="s">
        <v>636</v>
      </c>
      <c r="B105" s="5">
        <v>1298</v>
      </c>
    </row>
    <row r="106" spans="1:2" x14ac:dyDescent="0.3">
      <c r="A106" s="6" t="s">
        <v>630</v>
      </c>
      <c r="B106" s="5">
        <v>898</v>
      </c>
    </row>
    <row r="107" spans="1:2" x14ac:dyDescent="0.3">
      <c r="A107" s="6" t="s">
        <v>642</v>
      </c>
      <c r="B107" s="5">
        <v>49</v>
      </c>
    </row>
    <row r="108" spans="1:2" x14ac:dyDescent="0.3">
      <c r="A108" s="4" t="s">
        <v>582</v>
      </c>
      <c r="B108" s="5">
        <v>13086</v>
      </c>
    </row>
    <row r="109" spans="1:2" x14ac:dyDescent="0.3">
      <c r="A109" s="6" t="s">
        <v>624</v>
      </c>
      <c r="B109" s="5">
        <v>49</v>
      </c>
    </row>
    <row r="110" spans="1:2" x14ac:dyDescent="0.3">
      <c r="A110" s="6" t="s">
        <v>632</v>
      </c>
      <c r="B110" s="5">
        <v>799</v>
      </c>
    </row>
    <row r="111" spans="1:2" x14ac:dyDescent="0.3">
      <c r="A111" s="6" t="s">
        <v>627</v>
      </c>
      <c r="B111" s="5">
        <v>98</v>
      </c>
    </row>
    <row r="112" spans="1:2" x14ac:dyDescent="0.3">
      <c r="A112" s="6" t="s">
        <v>628</v>
      </c>
      <c r="B112" s="5">
        <v>399</v>
      </c>
    </row>
    <row r="113" spans="1:2" x14ac:dyDescent="0.3">
      <c r="A113" s="6" t="s">
        <v>633</v>
      </c>
      <c r="B113" s="5">
        <v>1499</v>
      </c>
    </row>
    <row r="114" spans="1:2" x14ac:dyDescent="0.3">
      <c r="A114" s="6" t="s">
        <v>652</v>
      </c>
      <c r="B114" s="5">
        <v>499</v>
      </c>
    </row>
    <row r="115" spans="1:2" x14ac:dyDescent="0.3">
      <c r="A115" s="6" t="s">
        <v>634</v>
      </c>
      <c r="B115" s="5">
        <v>2999</v>
      </c>
    </row>
    <row r="116" spans="1:2" x14ac:dyDescent="0.3">
      <c r="A116" s="6" t="s">
        <v>640</v>
      </c>
      <c r="B116" s="5">
        <v>49</v>
      </c>
    </row>
    <row r="117" spans="1:2" x14ac:dyDescent="0.3">
      <c r="A117" s="6" t="s">
        <v>635</v>
      </c>
      <c r="B117" s="5">
        <v>499</v>
      </c>
    </row>
    <row r="118" spans="1:2" x14ac:dyDescent="0.3">
      <c r="A118" s="6" t="s">
        <v>641</v>
      </c>
      <c r="B118" s="5">
        <v>4999</v>
      </c>
    </row>
    <row r="119" spans="1:2" x14ac:dyDescent="0.3">
      <c r="A119" s="6" t="s">
        <v>649</v>
      </c>
      <c r="B119" s="5">
        <v>398</v>
      </c>
    </row>
    <row r="120" spans="1:2" x14ac:dyDescent="0.3">
      <c r="A120" s="6" t="s">
        <v>642</v>
      </c>
      <c r="B120" s="5">
        <v>799</v>
      </c>
    </row>
    <row r="121" spans="1:2" x14ac:dyDescent="0.3">
      <c r="A121" s="4" t="s">
        <v>583</v>
      </c>
      <c r="B121" s="5">
        <v>10940</v>
      </c>
    </row>
    <row r="122" spans="1:2" x14ac:dyDescent="0.3">
      <c r="A122" s="6" t="s">
        <v>651</v>
      </c>
      <c r="B122" s="5">
        <v>1499</v>
      </c>
    </row>
    <row r="123" spans="1:2" x14ac:dyDescent="0.3">
      <c r="A123" s="6" t="s">
        <v>625</v>
      </c>
      <c r="B123" s="5">
        <v>1499</v>
      </c>
    </row>
    <row r="124" spans="1:2" x14ac:dyDescent="0.3">
      <c r="A124" s="6" t="s">
        <v>631</v>
      </c>
      <c r="B124" s="5">
        <v>49</v>
      </c>
    </row>
    <row r="125" spans="1:2" x14ac:dyDescent="0.3">
      <c r="A125" s="6" t="s">
        <v>627</v>
      </c>
      <c r="B125" s="5">
        <v>4999</v>
      </c>
    </row>
    <row r="126" spans="1:2" x14ac:dyDescent="0.3">
      <c r="A126" s="6" t="s">
        <v>648</v>
      </c>
      <c r="B126" s="5">
        <v>499</v>
      </c>
    </row>
    <row r="127" spans="1:2" x14ac:dyDescent="0.3">
      <c r="A127" s="6" t="s">
        <v>641</v>
      </c>
      <c r="B127" s="5">
        <v>299</v>
      </c>
    </row>
    <row r="128" spans="1:2" x14ac:dyDescent="0.3">
      <c r="A128" s="6" t="s">
        <v>649</v>
      </c>
      <c r="B128" s="5">
        <v>149</v>
      </c>
    </row>
    <row r="129" spans="1:2" x14ac:dyDescent="0.3">
      <c r="A129" s="6" t="s">
        <v>644</v>
      </c>
      <c r="B129" s="5">
        <v>1798</v>
      </c>
    </row>
    <row r="130" spans="1:2" x14ac:dyDescent="0.3">
      <c r="A130" s="6" t="s">
        <v>642</v>
      </c>
      <c r="B130" s="5">
        <v>149</v>
      </c>
    </row>
    <row r="131" spans="1:2" x14ac:dyDescent="0.3">
      <c r="A131" s="4" t="s">
        <v>584</v>
      </c>
      <c r="B131" s="5">
        <v>10387</v>
      </c>
    </row>
    <row r="132" spans="1:2" x14ac:dyDescent="0.3">
      <c r="A132" s="6" t="s">
        <v>646</v>
      </c>
      <c r="B132" s="5">
        <v>548</v>
      </c>
    </row>
    <row r="133" spans="1:2" x14ac:dyDescent="0.3">
      <c r="A133" s="6" t="s">
        <v>626</v>
      </c>
      <c r="B133" s="5">
        <v>799</v>
      </c>
    </row>
    <row r="134" spans="1:2" x14ac:dyDescent="0.3">
      <c r="A134" s="6" t="s">
        <v>628</v>
      </c>
      <c r="B134" s="5">
        <v>1998</v>
      </c>
    </row>
    <row r="135" spans="1:2" x14ac:dyDescent="0.3">
      <c r="A135" s="6" t="s">
        <v>652</v>
      </c>
      <c r="B135" s="5">
        <v>548</v>
      </c>
    </row>
    <row r="136" spans="1:2" x14ac:dyDescent="0.3">
      <c r="A136" s="6" t="s">
        <v>648</v>
      </c>
      <c r="B136" s="5">
        <v>799</v>
      </c>
    </row>
    <row r="137" spans="1:2" x14ac:dyDescent="0.3">
      <c r="A137" s="6" t="s">
        <v>636</v>
      </c>
      <c r="B137" s="5">
        <v>99</v>
      </c>
    </row>
    <row r="138" spans="1:2" x14ac:dyDescent="0.3">
      <c r="A138" s="6" t="s">
        <v>630</v>
      </c>
      <c r="B138" s="5">
        <v>448</v>
      </c>
    </row>
    <row r="139" spans="1:2" x14ac:dyDescent="0.3">
      <c r="A139" s="6" t="s">
        <v>650</v>
      </c>
      <c r="B139" s="5">
        <v>149</v>
      </c>
    </row>
    <row r="140" spans="1:2" x14ac:dyDescent="0.3">
      <c r="A140" s="6" t="s">
        <v>638</v>
      </c>
      <c r="B140" s="5">
        <v>4999</v>
      </c>
    </row>
    <row r="141" spans="1:2" x14ac:dyDescent="0.3">
      <c r="A141" s="4" t="s">
        <v>585</v>
      </c>
      <c r="B141" s="5">
        <v>18388</v>
      </c>
    </row>
    <row r="142" spans="1:2" x14ac:dyDescent="0.3">
      <c r="A142" s="6" t="s">
        <v>632</v>
      </c>
      <c r="B142" s="5">
        <v>149</v>
      </c>
    </row>
    <row r="143" spans="1:2" x14ac:dyDescent="0.3">
      <c r="A143" s="6" t="s">
        <v>626</v>
      </c>
      <c r="B143" s="5">
        <v>198</v>
      </c>
    </row>
    <row r="144" spans="1:2" x14ac:dyDescent="0.3">
      <c r="A144" s="6" t="s">
        <v>647</v>
      </c>
      <c r="B144" s="5">
        <v>99</v>
      </c>
    </row>
    <row r="145" spans="1:2" x14ac:dyDescent="0.3">
      <c r="A145" s="6" t="s">
        <v>652</v>
      </c>
      <c r="B145" s="5">
        <v>1499</v>
      </c>
    </row>
    <row r="146" spans="1:2" x14ac:dyDescent="0.3">
      <c r="A146" s="6" t="s">
        <v>634</v>
      </c>
      <c r="B146" s="5">
        <v>49</v>
      </c>
    </row>
    <row r="147" spans="1:2" x14ac:dyDescent="0.3">
      <c r="A147" s="6" t="s">
        <v>641</v>
      </c>
      <c r="B147" s="5">
        <v>4999</v>
      </c>
    </row>
    <row r="148" spans="1:2" x14ac:dyDescent="0.3">
      <c r="A148" s="6" t="s">
        <v>649</v>
      </c>
      <c r="B148" s="5">
        <v>4999</v>
      </c>
    </row>
    <row r="149" spans="1:2" x14ac:dyDescent="0.3">
      <c r="A149" s="6" t="s">
        <v>644</v>
      </c>
      <c r="B149" s="5">
        <v>2999</v>
      </c>
    </row>
    <row r="150" spans="1:2" x14ac:dyDescent="0.3">
      <c r="A150" s="6" t="s">
        <v>637</v>
      </c>
      <c r="B150" s="5">
        <v>299</v>
      </c>
    </row>
    <row r="151" spans="1:2" x14ac:dyDescent="0.3">
      <c r="A151" s="6" t="s">
        <v>650</v>
      </c>
      <c r="B151" s="5">
        <v>99</v>
      </c>
    </row>
    <row r="152" spans="1:2" x14ac:dyDescent="0.3">
      <c r="A152" s="6" t="s">
        <v>653</v>
      </c>
      <c r="B152" s="5">
        <v>2999</v>
      </c>
    </row>
    <row r="153" spans="1:2" x14ac:dyDescent="0.3">
      <c r="A153" s="4" t="s">
        <v>587</v>
      </c>
      <c r="B153" s="5">
        <v>6488</v>
      </c>
    </row>
    <row r="154" spans="1:2" x14ac:dyDescent="0.3">
      <c r="A154" s="6" t="s">
        <v>646</v>
      </c>
      <c r="B154" s="5">
        <v>299</v>
      </c>
    </row>
    <row r="155" spans="1:2" x14ac:dyDescent="0.3">
      <c r="A155" s="6" t="s">
        <v>643</v>
      </c>
      <c r="B155" s="5">
        <v>1499</v>
      </c>
    </row>
    <row r="156" spans="1:2" x14ac:dyDescent="0.3">
      <c r="A156" s="6" t="s">
        <v>639</v>
      </c>
      <c r="B156" s="5">
        <v>149</v>
      </c>
    </row>
    <row r="157" spans="1:2" x14ac:dyDescent="0.3">
      <c r="A157" s="6" t="s">
        <v>651</v>
      </c>
      <c r="B157" s="5">
        <v>99</v>
      </c>
    </row>
    <row r="158" spans="1:2" x14ac:dyDescent="0.3">
      <c r="A158" s="6" t="s">
        <v>624</v>
      </c>
      <c r="B158" s="5">
        <v>1499</v>
      </c>
    </row>
    <row r="159" spans="1:2" x14ac:dyDescent="0.3">
      <c r="A159" s="6" t="s">
        <v>631</v>
      </c>
      <c r="B159" s="5">
        <v>49</v>
      </c>
    </row>
    <row r="160" spans="1:2" x14ac:dyDescent="0.3">
      <c r="A160" s="6" t="s">
        <v>632</v>
      </c>
      <c r="B160" s="5">
        <v>799</v>
      </c>
    </row>
    <row r="161" spans="1:2" x14ac:dyDescent="0.3">
      <c r="A161" s="6" t="s">
        <v>648</v>
      </c>
      <c r="B161" s="5">
        <v>99</v>
      </c>
    </row>
    <row r="162" spans="1:2" x14ac:dyDescent="0.3">
      <c r="A162" s="6" t="s">
        <v>635</v>
      </c>
      <c r="B162" s="5">
        <v>99</v>
      </c>
    </row>
    <row r="163" spans="1:2" x14ac:dyDescent="0.3">
      <c r="A163" s="6" t="s">
        <v>641</v>
      </c>
      <c r="B163" s="5">
        <v>299</v>
      </c>
    </row>
    <row r="164" spans="1:2" x14ac:dyDescent="0.3">
      <c r="A164" s="6" t="s">
        <v>645</v>
      </c>
      <c r="B164" s="5">
        <v>1598</v>
      </c>
    </row>
    <row r="165" spans="1:2" x14ac:dyDescent="0.3">
      <c r="A165" s="4" t="s">
        <v>588</v>
      </c>
      <c r="B165" s="5">
        <v>7838</v>
      </c>
    </row>
    <row r="166" spans="1:2" x14ac:dyDescent="0.3">
      <c r="A166" s="6" t="s">
        <v>646</v>
      </c>
      <c r="B166" s="5">
        <v>499</v>
      </c>
    </row>
    <row r="167" spans="1:2" x14ac:dyDescent="0.3">
      <c r="A167" s="6" t="s">
        <v>631</v>
      </c>
      <c r="B167" s="5">
        <v>49</v>
      </c>
    </row>
    <row r="168" spans="1:2" x14ac:dyDescent="0.3">
      <c r="A168" s="6" t="s">
        <v>647</v>
      </c>
      <c r="B168" s="5">
        <v>49</v>
      </c>
    </row>
    <row r="169" spans="1:2" x14ac:dyDescent="0.3">
      <c r="A169" s="6" t="s">
        <v>633</v>
      </c>
      <c r="B169" s="5">
        <v>299</v>
      </c>
    </row>
    <row r="170" spans="1:2" x14ac:dyDescent="0.3">
      <c r="A170" s="6" t="s">
        <v>652</v>
      </c>
      <c r="B170" s="5">
        <v>399</v>
      </c>
    </row>
    <row r="171" spans="1:2" x14ac:dyDescent="0.3">
      <c r="A171" s="6" t="s">
        <v>635</v>
      </c>
      <c r="B171" s="5">
        <v>499</v>
      </c>
    </row>
    <row r="172" spans="1:2" x14ac:dyDescent="0.3">
      <c r="A172" s="6" t="s">
        <v>644</v>
      </c>
      <c r="B172" s="5">
        <v>148</v>
      </c>
    </row>
    <row r="173" spans="1:2" x14ac:dyDescent="0.3">
      <c r="A173" s="6" t="s">
        <v>637</v>
      </c>
      <c r="B173" s="5">
        <v>4999</v>
      </c>
    </row>
    <row r="174" spans="1:2" x14ac:dyDescent="0.3">
      <c r="A174" s="6" t="s">
        <v>650</v>
      </c>
      <c r="B174" s="5">
        <v>799</v>
      </c>
    </row>
    <row r="175" spans="1:2" x14ac:dyDescent="0.3">
      <c r="A175" s="6" t="s">
        <v>642</v>
      </c>
      <c r="B175" s="5">
        <v>98</v>
      </c>
    </row>
    <row r="176" spans="1:2" x14ac:dyDescent="0.3">
      <c r="A176" s="4" t="s">
        <v>589</v>
      </c>
      <c r="B176" s="5">
        <v>11130</v>
      </c>
    </row>
    <row r="177" spans="1:2" x14ac:dyDescent="0.3">
      <c r="A177" s="6" t="s">
        <v>643</v>
      </c>
      <c r="B177" s="5">
        <v>499</v>
      </c>
    </row>
    <row r="178" spans="1:2" x14ac:dyDescent="0.3">
      <c r="A178" s="6" t="s">
        <v>639</v>
      </c>
      <c r="B178" s="5">
        <v>99</v>
      </c>
    </row>
    <row r="179" spans="1:2" x14ac:dyDescent="0.3">
      <c r="A179" s="6" t="s">
        <v>651</v>
      </c>
      <c r="B179" s="5">
        <v>49</v>
      </c>
    </row>
    <row r="180" spans="1:2" x14ac:dyDescent="0.3">
      <c r="A180" s="6" t="s">
        <v>624</v>
      </c>
      <c r="B180" s="5">
        <v>149</v>
      </c>
    </row>
    <row r="181" spans="1:2" x14ac:dyDescent="0.3">
      <c r="A181" s="6" t="s">
        <v>627</v>
      </c>
      <c r="B181" s="5">
        <v>499</v>
      </c>
    </row>
    <row r="182" spans="1:2" x14ac:dyDescent="0.3">
      <c r="A182" s="6" t="s">
        <v>634</v>
      </c>
      <c r="B182" s="5">
        <v>2999</v>
      </c>
    </row>
    <row r="183" spans="1:2" x14ac:dyDescent="0.3">
      <c r="A183" s="6" t="s">
        <v>648</v>
      </c>
      <c r="B183" s="5">
        <v>49</v>
      </c>
    </row>
    <row r="184" spans="1:2" x14ac:dyDescent="0.3">
      <c r="A184" s="6" t="s">
        <v>641</v>
      </c>
      <c r="B184" s="5">
        <v>448</v>
      </c>
    </row>
    <row r="185" spans="1:2" x14ac:dyDescent="0.3">
      <c r="A185" s="6" t="s">
        <v>630</v>
      </c>
      <c r="B185" s="5">
        <v>399</v>
      </c>
    </row>
    <row r="186" spans="1:2" x14ac:dyDescent="0.3">
      <c r="A186" s="6" t="s">
        <v>644</v>
      </c>
      <c r="B186" s="5">
        <v>1548</v>
      </c>
    </row>
    <row r="187" spans="1:2" x14ac:dyDescent="0.3">
      <c r="A187" s="6" t="s">
        <v>645</v>
      </c>
      <c r="B187" s="5">
        <v>98</v>
      </c>
    </row>
    <row r="188" spans="1:2" x14ac:dyDescent="0.3">
      <c r="A188" s="6" t="s">
        <v>650</v>
      </c>
      <c r="B188" s="5">
        <v>348</v>
      </c>
    </row>
    <row r="189" spans="1:2" x14ac:dyDescent="0.3">
      <c r="A189" s="6" t="s">
        <v>653</v>
      </c>
      <c r="B189" s="5">
        <v>49</v>
      </c>
    </row>
    <row r="190" spans="1:2" x14ac:dyDescent="0.3">
      <c r="A190" s="6" t="s">
        <v>642</v>
      </c>
      <c r="B190" s="5">
        <v>2999</v>
      </c>
    </row>
    <row r="191" spans="1:2" x14ac:dyDescent="0.3">
      <c r="A191" s="6" t="s">
        <v>638</v>
      </c>
      <c r="B191" s="5">
        <v>898</v>
      </c>
    </row>
    <row r="192" spans="1:2" x14ac:dyDescent="0.3">
      <c r="A192" s="4" t="s">
        <v>591</v>
      </c>
      <c r="B192" s="5">
        <v>13037</v>
      </c>
    </row>
    <row r="193" spans="1:2" x14ac:dyDescent="0.3">
      <c r="A193" s="6" t="s">
        <v>646</v>
      </c>
      <c r="B193" s="5">
        <v>1499</v>
      </c>
    </row>
    <row r="194" spans="1:2" x14ac:dyDescent="0.3">
      <c r="A194" s="6" t="s">
        <v>643</v>
      </c>
      <c r="B194" s="5">
        <v>299</v>
      </c>
    </row>
    <row r="195" spans="1:2" x14ac:dyDescent="0.3">
      <c r="A195" s="6" t="s">
        <v>639</v>
      </c>
      <c r="B195" s="5">
        <v>398</v>
      </c>
    </row>
    <row r="196" spans="1:2" x14ac:dyDescent="0.3">
      <c r="A196" s="6" t="s">
        <v>627</v>
      </c>
      <c r="B196" s="5">
        <v>7998</v>
      </c>
    </row>
    <row r="197" spans="1:2" x14ac:dyDescent="0.3">
      <c r="A197" s="6" t="s">
        <v>628</v>
      </c>
      <c r="B197" s="5">
        <v>1499</v>
      </c>
    </row>
    <row r="198" spans="1:2" x14ac:dyDescent="0.3">
      <c r="A198" s="6" t="s">
        <v>629</v>
      </c>
      <c r="B198" s="5">
        <v>299</v>
      </c>
    </row>
    <row r="199" spans="1:2" x14ac:dyDescent="0.3">
      <c r="A199" s="6" t="s">
        <v>648</v>
      </c>
      <c r="B199" s="5">
        <v>198</v>
      </c>
    </row>
    <row r="200" spans="1:2" x14ac:dyDescent="0.3">
      <c r="A200" s="6" t="s">
        <v>635</v>
      </c>
      <c r="B200" s="5">
        <v>49</v>
      </c>
    </row>
    <row r="201" spans="1:2" x14ac:dyDescent="0.3">
      <c r="A201" s="6" t="s">
        <v>653</v>
      </c>
      <c r="B201" s="5">
        <v>299</v>
      </c>
    </row>
    <row r="202" spans="1:2" x14ac:dyDescent="0.3">
      <c r="A202" s="6" t="s">
        <v>638</v>
      </c>
      <c r="B202" s="5">
        <v>499</v>
      </c>
    </row>
    <row r="203" spans="1:2" x14ac:dyDescent="0.3">
      <c r="A203" s="4" t="s">
        <v>592</v>
      </c>
      <c r="B203" s="5">
        <v>7089</v>
      </c>
    </row>
    <row r="204" spans="1:2" x14ac:dyDescent="0.3">
      <c r="A204" s="6" t="s">
        <v>625</v>
      </c>
      <c r="B204" s="5">
        <v>499</v>
      </c>
    </row>
    <row r="205" spans="1:2" x14ac:dyDescent="0.3">
      <c r="A205" s="6" t="s">
        <v>627</v>
      </c>
      <c r="B205" s="5">
        <v>799</v>
      </c>
    </row>
    <row r="206" spans="1:2" x14ac:dyDescent="0.3">
      <c r="A206" s="6" t="s">
        <v>628</v>
      </c>
      <c r="B206" s="5">
        <v>49</v>
      </c>
    </row>
    <row r="207" spans="1:2" x14ac:dyDescent="0.3">
      <c r="A207" s="6" t="s">
        <v>652</v>
      </c>
      <c r="B207" s="5">
        <v>149</v>
      </c>
    </row>
    <row r="208" spans="1:2" x14ac:dyDescent="0.3">
      <c r="A208" s="6" t="s">
        <v>634</v>
      </c>
      <c r="B208" s="5">
        <v>149</v>
      </c>
    </row>
    <row r="209" spans="1:2" x14ac:dyDescent="0.3">
      <c r="A209" s="6" t="s">
        <v>640</v>
      </c>
      <c r="B209" s="5">
        <v>3148</v>
      </c>
    </row>
    <row r="210" spans="1:2" x14ac:dyDescent="0.3">
      <c r="A210" s="6" t="s">
        <v>648</v>
      </c>
      <c r="B210" s="5">
        <v>499</v>
      </c>
    </row>
    <row r="211" spans="1:2" x14ac:dyDescent="0.3">
      <c r="A211" s="6" t="s">
        <v>641</v>
      </c>
      <c r="B211" s="5">
        <v>149</v>
      </c>
    </row>
    <row r="212" spans="1:2" x14ac:dyDescent="0.3">
      <c r="A212" s="6" t="s">
        <v>645</v>
      </c>
      <c r="B212" s="5">
        <v>1648</v>
      </c>
    </row>
    <row r="213" spans="1:2" x14ac:dyDescent="0.3">
      <c r="A213" s="4" t="s">
        <v>593</v>
      </c>
      <c r="B213" s="5">
        <v>12836</v>
      </c>
    </row>
    <row r="214" spans="1:2" x14ac:dyDescent="0.3">
      <c r="A214" s="6" t="s">
        <v>643</v>
      </c>
      <c r="B214" s="5">
        <v>149</v>
      </c>
    </row>
    <row r="215" spans="1:2" x14ac:dyDescent="0.3">
      <c r="A215" s="6" t="s">
        <v>625</v>
      </c>
      <c r="B215" s="5">
        <v>499</v>
      </c>
    </row>
    <row r="216" spans="1:2" x14ac:dyDescent="0.3">
      <c r="A216" s="6" t="s">
        <v>626</v>
      </c>
      <c r="B216" s="5">
        <v>99</v>
      </c>
    </row>
    <row r="217" spans="1:2" x14ac:dyDescent="0.3">
      <c r="A217" s="6" t="s">
        <v>647</v>
      </c>
      <c r="B217" s="5">
        <v>2999</v>
      </c>
    </row>
    <row r="218" spans="1:2" x14ac:dyDescent="0.3">
      <c r="A218" s="6" t="s">
        <v>634</v>
      </c>
      <c r="B218" s="5">
        <v>398</v>
      </c>
    </row>
    <row r="219" spans="1:2" x14ac:dyDescent="0.3">
      <c r="A219" s="6" t="s">
        <v>640</v>
      </c>
      <c r="B219" s="5">
        <v>4999</v>
      </c>
    </row>
    <row r="220" spans="1:2" x14ac:dyDescent="0.3">
      <c r="A220" s="6" t="s">
        <v>635</v>
      </c>
      <c r="B220" s="5">
        <v>99</v>
      </c>
    </row>
    <row r="221" spans="1:2" x14ac:dyDescent="0.3">
      <c r="A221" s="6" t="s">
        <v>641</v>
      </c>
      <c r="B221" s="5">
        <v>348</v>
      </c>
    </row>
    <row r="222" spans="1:2" x14ac:dyDescent="0.3">
      <c r="A222" s="6" t="s">
        <v>636</v>
      </c>
      <c r="B222" s="5">
        <v>2999</v>
      </c>
    </row>
    <row r="223" spans="1:2" x14ac:dyDescent="0.3">
      <c r="A223" s="6" t="s">
        <v>644</v>
      </c>
      <c r="B223" s="5">
        <v>149</v>
      </c>
    </row>
    <row r="224" spans="1:2" x14ac:dyDescent="0.3">
      <c r="A224" s="6" t="s">
        <v>645</v>
      </c>
      <c r="B224" s="5">
        <v>49</v>
      </c>
    </row>
    <row r="225" spans="1:2" x14ac:dyDescent="0.3">
      <c r="A225" s="6" t="s">
        <v>637</v>
      </c>
      <c r="B225" s="5">
        <v>49</v>
      </c>
    </row>
    <row r="226" spans="1:2" x14ac:dyDescent="0.3">
      <c r="A226" s="4" t="s">
        <v>594</v>
      </c>
      <c r="B226" s="5">
        <v>4241</v>
      </c>
    </row>
    <row r="227" spans="1:2" x14ac:dyDescent="0.3">
      <c r="A227" s="6" t="s">
        <v>643</v>
      </c>
      <c r="B227" s="5">
        <v>49</v>
      </c>
    </row>
    <row r="228" spans="1:2" x14ac:dyDescent="0.3">
      <c r="A228" s="6" t="s">
        <v>639</v>
      </c>
      <c r="B228" s="5">
        <v>348</v>
      </c>
    </row>
    <row r="229" spans="1:2" x14ac:dyDescent="0.3">
      <c r="A229" s="6" t="s">
        <v>651</v>
      </c>
      <c r="B229" s="5">
        <v>2999</v>
      </c>
    </row>
    <row r="230" spans="1:2" x14ac:dyDescent="0.3">
      <c r="A230" s="6" t="s">
        <v>647</v>
      </c>
      <c r="B230" s="5">
        <v>149</v>
      </c>
    </row>
    <row r="231" spans="1:2" x14ac:dyDescent="0.3">
      <c r="A231" s="6" t="s">
        <v>649</v>
      </c>
      <c r="B231" s="5">
        <v>99</v>
      </c>
    </row>
    <row r="232" spans="1:2" x14ac:dyDescent="0.3">
      <c r="A232" s="6" t="s">
        <v>630</v>
      </c>
      <c r="B232" s="5">
        <v>49</v>
      </c>
    </row>
    <row r="233" spans="1:2" x14ac:dyDescent="0.3">
      <c r="A233" s="6" t="s">
        <v>644</v>
      </c>
      <c r="B233" s="5">
        <v>49</v>
      </c>
    </row>
    <row r="234" spans="1:2" x14ac:dyDescent="0.3">
      <c r="A234" s="6" t="s">
        <v>642</v>
      </c>
      <c r="B234" s="5">
        <v>499</v>
      </c>
    </row>
    <row r="235" spans="1:2" x14ac:dyDescent="0.3">
      <c r="A235" s="4" t="s">
        <v>595</v>
      </c>
      <c r="B235" s="5">
        <v>8886</v>
      </c>
    </row>
    <row r="236" spans="1:2" x14ac:dyDescent="0.3">
      <c r="A236" s="6" t="s">
        <v>646</v>
      </c>
      <c r="B236" s="5">
        <v>5298</v>
      </c>
    </row>
    <row r="237" spans="1:2" x14ac:dyDescent="0.3">
      <c r="A237" s="6" t="s">
        <v>624</v>
      </c>
      <c r="B237" s="5">
        <v>499</v>
      </c>
    </row>
    <row r="238" spans="1:2" x14ac:dyDescent="0.3">
      <c r="A238" s="6" t="s">
        <v>626</v>
      </c>
      <c r="B238" s="5">
        <v>499</v>
      </c>
    </row>
    <row r="239" spans="1:2" x14ac:dyDescent="0.3">
      <c r="A239" s="6" t="s">
        <v>652</v>
      </c>
      <c r="B239" s="5">
        <v>49</v>
      </c>
    </row>
    <row r="240" spans="1:2" x14ac:dyDescent="0.3">
      <c r="A240" s="6" t="s">
        <v>634</v>
      </c>
      <c r="B240" s="5">
        <v>299</v>
      </c>
    </row>
    <row r="241" spans="1:2" x14ac:dyDescent="0.3">
      <c r="A241" s="6" t="s">
        <v>640</v>
      </c>
      <c r="B241" s="5">
        <v>799</v>
      </c>
    </row>
    <row r="242" spans="1:2" x14ac:dyDescent="0.3">
      <c r="A242" s="6" t="s">
        <v>648</v>
      </c>
      <c r="B242" s="5">
        <v>799</v>
      </c>
    </row>
    <row r="243" spans="1:2" x14ac:dyDescent="0.3">
      <c r="A243" s="6" t="s">
        <v>635</v>
      </c>
      <c r="B243" s="5">
        <v>99</v>
      </c>
    </row>
    <row r="244" spans="1:2" x14ac:dyDescent="0.3">
      <c r="A244" s="6" t="s">
        <v>641</v>
      </c>
      <c r="B244" s="5">
        <v>49</v>
      </c>
    </row>
    <row r="245" spans="1:2" x14ac:dyDescent="0.3">
      <c r="A245" s="6" t="s">
        <v>649</v>
      </c>
      <c r="B245" s="5">
        <v>49</v>
      </c>
    </row>
    <row r="246" spans="1:2" x14ac:dyDescent="0.3">
      <c r="A246" s="6" t="s">
        <v>645</v>
      </c>
      <c r="B246" s="5">
        <v>299</v>
      </c>
    </row>
    <row r="247" spans="1:2" x14ac:dyDescent="0.3">
      <c r="A247" s="6" t="s">
        <v>637</v>
      </c>
      <c r="B247" s="5">
        <v>99</v>
      </c>
    </row>
    <row r="248" spans="1:2" x14ac:dyDescent="0.3">
      <c r="A248" s="6" t="s">
        <v>650</v>
      </c>
      <c r="B248" s="5">
        <v>49</v>
      </c>
    </row>
    <row r="249" spans="1:2" x14ac:dyDescent="0.3">
      <c r="A249" s="4" t="s">
        <v>596</v>
      </c>
      <c r="B249" s="5">
        <v>12534</v>
      </c>
    </row>
    <row r="250" spans="1:2" x14ac:dyDescent="0.3">
      <c r="A250" s="6" t="s">
        <v>646</v>
      </c>
      <c r="B250" s="5">
        <v>799</v>
      </c>
    </row>
    <row r="251" spans="1:2" x14ac:dyDescent="0.3">
      <c r="A251" s="6" t="s">
        <v>624</v>
      </c>
      <c r="B251" s="5">
        <v>448</v>
      </c>
    </row>
    <row r="252" spans="1:2" x14ac:dyDescent="0.3">
      <c r="A252" s="6" t="s">
        <v>631</v>
      </c>
      <c r="B252" s="5">
        <v>499</v>
      </c>
    </row>
    <row r="253" spans="1:2" x14ac:dyDescent="0.3">
      <c r="A253" s="6" t="s">
        <v>647</v>
      </c>
      <c r="B253" s="5">
        <v>499</v>
      </c>
    </row>
    <row r="254" spans="1:2" x14ac:dyDescent="0.3">
      <c r="A254" s="6" t="s">
        <v>627</v>
      </c>
      <c r="B254" s="5">
        <v>299</v>
      </c>
    </row>
    <row r="255" spans="1:2" x14ac:dyDescent="0.3">
      <c r="A255" s="6" t="s">
        <v>628</v>
      </c>
      <c r="B255" s="5">
        <v>1697</v>
      </c>
    </row>
    <row r="256" spans="1:2" x14ac:dyDescent="0.3">
      <c r="A256" s="6" t="s">
        <v>633</v>
      </c>
      <c r="B256" s="5">
        <v>5798</v>
      </c>
    </row>
    <row r="257" spans="1:2" x14ac:dyDescent="0.3">
      <c r="A257" s="6" t="s">
        <v>652</v>
      </c>
      <c r="B257" s="5">
        <v>799</v>
      </c>
    </row>
    <row r="258" spans="1:2" x14ac:dyDescent="0.3">
      <c r="A258" s="6" t="s">
        <v>629</v>
      </c>
      <c r="B258" s="5">
        <v>1598</v>
      </c>
    </row>
    <row r="259" spans="1:2" x14ac:dyDescent="0.3">
      <c r="A259" s="6" t="s">
        <v>630</v>
      </c>
      <c r="B259" s="5">
        <v>49</v>
      </c>
    </row>
    <row r="260" spans="1:2" x14ac:dyDescent="0.3">
      <c r="A260" s="6" t="s">
        <v>642</v>
      </c>
      <c r="B260" s="5">
        <v>49</v>
      </c>
    </row>
    <row r="261" spans="1:2" x14ac:dyDescent="0.3">
      <c r="A261" s="4" t="s">
        <v>597</v>
      </c>
      <c r="B261" s="5">
        <v>3040</v>
      </c>
    </row>
    <row r="262" spans="1:2" x14ac:dyDescent="0.3">
      <c r="A262" s="6" t="s">
        <v>632</v>
      </c>
      <c r="B262" s="5">
        <v>99</v>
      </c>
    </row>
    <row r="263" spans="1:2" x14ac:dyDescent="0.3">
      <c r="A263" s="6" t="s">
        <v>626</v>
      </c>
      <c r="B263" s="5">
        <v>399</v>
      </c>
    </row>
    <row r="264" spans="1:2" x14ac:dyDescent="0.3">
      <c r="A264" s="6" t="s">
        <v>628</v>
      </c>
      <c r="B264" s="5">
        <v>149</v>
      </c>
    </row>
    <row r="265" spans="1:2" x14ac:dyDescent="0.3">
      <c r="A265" s="6" t="s">
        <v>629</v>
      </c>
      <c r="B265" s="5">
        <v>49</v>
      </c>
    </row>
    <row r="266" spans="1:2" x14ac:dyDescent="0.3">
      <c r="A266" s="6" t="s">
        <v>648</v>
      </c>
      <c r="B266" s="5">
        <v>1999</v>
      </c>
    </row>
    <row r="267" spans="1:2" x14ac:dyDescent="0.3">
      <c r="A267" s="6" t="s">
        <v>636</v>
      </c>
      <c r="B267" s="5">
        <v>49</v>
      </c>
    </row>
    <row r="268" spans="1:2" x14ac:dyDescent="0.3">
      <c r="A268" s="6" t="s">
        <v>630</v>
      </c>
      <c r="B268" s="5">
        <v>247</v>
      </c>
    </row>
    <row r="269" spans="1:2" x14ac:dyDescent="0.3">
      <c r="A269" s="6" t="s">
        <v>637</v>
      </c>
      <c r="B269" s="5">
        <v>49</v>
      </c>
    </row>
    <row r="270" spans="1:2" x14ac:dyDescent="0.3">
      <c r="A270" s="4" t="s">
        <v>598</v>
      </c>
      <c r="B270" s="5">
        <v>3587</v>
      </c>
    </row>
    <row r="271" spans="1:2" x14ac:dyDescent="0.3">
      <c r="A271" s="6" t="s">
        <v>639</v>
      </c>
      <c r="B271" s="5">
        <v>49</v>
      </c>
    </row>
    <row r="272" spans="1:2" x14ac:dyDescent="0.3">
      <c r="A272" s="6" t="s">
        <v>651</v>
      </c>
      <c r="B272" s="5">
        <v>149</v>
      </c>
    </row>
    <row r="273" spans="1:2" x14ac:dyDescent="0.3">
      <c r="A273" s="6" t="s">
        <v>631</v>
      </c>
      <c r="B273" s="5">
        <v>299</v>
      </c>
    </row>
    <row r="274" spans="1:2" x14ac:dyDescent="0.3">
      <c r="A274" s="6" t="s">
        <v>627</v>
      </c>
      <c r="B274" s="5">
        <v>799</v>
      </c>
    </row>
    <row r="275" spans="1:2" x14ac:dyDescent="0.3">
      <c r="A275" s="6" t="s">
        <v>628</v>
      </c>
      <c r="B275" s="5">
        <v>149</v>
      </c>
    </row>
    <row r="276" spans="1:2" x14ac:dyDescent="0.3">
      <c r="A276" s="6" t="s">
        <v>652</v>
      </c>
      <c r="B276" s="5">
        <v>499</v>
      </c>
    </row>
    <row r="277" spans="1:2" x14ac:dyDescent="0.3">
      <c r="A277" s="6" t="s">
        <v>641</v>
      </c>
      <c r="B277" s="5">
        <v>299</v>
      </c>
    </row>
    <row r="278" spans="1:2" x14ac:dyDescent="0.3">
      <c r="A278" s="6" t="s">
        <v>649</v>
      </c>
      <c r="B278" s="5">
        <v>799</v>
      </c>
    </row>
    <row r="279" spans="1:2" x14ac:dyDescent="0.3">
      <c r="A279" s="6" t="s">
        <v>636</v>
      </c>
      <c r="B279" s="5">
        <v>49</v>
      </c>
    </row>
    <row r="280" spans="1:2" x14ac:dyDescent="0.3">
      <c r="A280" s="6" t="s">
        <v>644</v>
      </c>
      <c r="B280" s="5">
        <v>148</v>
      </c>
    </row>
    <row r="281" spans="1:2" x14ac:dyDescent="0.3">
      <c r="A281" s="6" t="s">
        <v>637</v>
      </c>
      <c r="B281" s="5">
        <v>348</v>
      </c>
    </row>
    <row r="282" spans="1:2" x14ac:dyDescent="0.3">
      <c r="A282" s="4" t="s">
        <v>599</v>
      </c>
      <c r="B282" s="5">
        <v>15533</v>
      </c>
    </row>
    <row r="283" spans="1:2" x14ac:dyDescent="0.3">
      <c r="A283" s="6" t="s">
        <v>643</v>
      </c>
      <c r="B283" s="5">
        <v>99</v>
      </c>
    </row>
    <row r="284" spans="1:2" x14ac:dyDescent="0.3">
      <c r="A284" s="6" t="s">
        <v>624</v>
      </c>
      <c r="B284" s="5">
        <v>4498</v>
      </c>
    </row>
    <row r="285" spans="1:2" x14ac:dyDescent="0.3">
      <c r="A285" s="6" t="s">
        <v>625</v>
      </c>
      <c r="B285" s="5">
        <v>898</v>
      </c>
    </row>
    <row r="286" spans="1:2" x14ac:dyDescent="0.3">
      <c r="A286" s="6" t="s">
        <v>627</v>
      </c>
      <c r="B286" s="5">
        <v>799</v>
      </c>
    </row>
    <row r="287" spans="1:2" x14ac:dyDescent="0.3">
      <c r="A287" s="6" t="s">
        <v>633</v>
      </c>
      <c r="B287" s="5">
        <v>49</v>
      </c>
    </row>
    <row r="288" spans="1:2" x14ac:dyDescent="0.3">
      <c r="A288" s="6" t="s">
        <v>634</v>
      </c>
      <c r="B288" s="5">
        <v>49</v>
      </c>
    </row>
    <row r="289" spans="1:2" x14ac:dyDescent="0.3">
      <c r="A289" s="6" t="s">
        <v>640</v>
      </c>
      <c r="B289" s="5">
        <v>799</v>
      </c>
    </row>
    <row r="290" spans="1:2" x14ac:dyDescent="0.3">
      <c r="A290" s="6" t="s">
        <v>635</v>
      </c>
      <c r="B290" s="5">
        <v>4498</v>
      </c>
    </row>
    <row r="291" spans="1:2" x14ac:dyDescent="0.3">
      <c r="A291" s="6" t="s">
        <v>644</v>
      </c>
      <c r="B291" s="5">
        <v>497</v>
      </c>
    </row>
    <row r="292" spans="1:2" x14ac:dyDescent="0.3">
      <c r="A292" s="6" t="s">
        <v>653</v>
      </c>
      <c r="B292" s="5">
        <v>299</v>
      </c>
    </row>
    <row r="293" spans="1:2" x14ac:dyDescent="0.3">
      <c r="A293" s="6" t="s">
        <v>642</v>
      </c>
      <c r="B293" s="5">
        <v>3048</v>
      </c>
    </row>
    <row r="294" spans="1:2" x14ac:dyDescent="0.3">
      <c r="A294" s="4" t="s">
        <v>600</v>
      </c>
      <c r="B294" s="5">
        <v>5188</v>
      </c>
    </row>
    <row r="295" spans="1:2" x14ac:dyDescent="0.3">
      <c r="A295" s="6" t="s">
        <v>643</v>
      </c>
      <c r="B295" s="5">
        <v>399</v>
      </c>
    </row>
    <row r="296" spans="1:2" x14ac:dyDescent="0.3">
      <c r="A296" s="6" t="s">
        <v>639</v>
      </c>
      <c r="B296" s="5">
        <v>99</v>
      </c>
    </row>
    <row r="297" spans="1:2" x14ac:dyDescent="0.3">
      <c r="A297" s="6" t="s">
        <v>625</v>
      </c>
      <c r="B297" s="5">
        <v>49</v>
      </c>
    </row>
    <row r="298" spans="1:2" x14ac:dyDescent="0.3">
      <c r="A298" s="6" t="s">
        <v>647</v>
      </c>
      <c r="B298" s="5">
        <v>299</v>
      </c>
    </row>
    <row r="299" spans="1:2" x14ac:dyDescent="0.3">
      <c r="A299" s="6" t="s">
        <v>628</v>
      </c>
      <c r="B299" s="5">
        <v>299</v>
      </c>
    </row>
    <row r="300" spans="1:2" x14ac:dyDescent="0.3">
      <c r="A300" s="6" t="s">
        <v>652</v>
      </c>
      <c r="B300" s="5">
        <v>299</v>
      </c>
    </row>
    <row r="301" spans="1:2" x14ac:dyDescent="0.3">
      <c r="A301" s="6" t="s">
        <v>636</v>
      </c>
      <c r="B301" s="5">
        <v>499</v>
      </c>
    </row>
    <row r="302" spans="1:2" x14ac:dyDescent="0.3">
      <c r="A302" s="6" t="s">
        <v>630</v>
      </c>
      <c r="B302" s="5">
        <v>99</v>
      </c>
    </row>
    <row r="303" spans="1:2" x14ac:dyDescent="0.3">
      <c r="A303" s="6" t="s">
        <v>653</v>
      </c>
      <c r="B303" s="5">
        <v>1499</v>
      </c>
    </row>
    <row r="304" spans="1:2" x14ac:dyDescent="0.3">
      <c r="A304" s="6" t="s">
        <v>642</v>
      </c>
      <c r="B304" s="5">
        <v>148</v>
      </c>
    </row>
    <row r="305" spans="1:2" x14ac:dyDescent="0.3">
      <c r="A305" s="6" t="s">
        <v>638</v>
      </c>
      <c r="B305" s="5">
        <v>1499</v>
      </c>
    </row>
    <row r="306" spans="1:2" x14ac:dyDescent="0.3">
      <c r="A306" s="4" t="s">
        <v>601</v>
      </c>
      <c r="B306" s="5">
        <v>13584</v>
      </c>
    </row>
    <row r="307" spans="1:2" x14ac:dyDescent="0.3">
      <c r="A307" s="6" t="s">
        <v>646</v>
      </c>
      <c r="B307" s="5">
        <v>149</v>
      </c>
    </row>
    <row r="308" spans="1:2" x14ac:dyDescent="0.3">
      <c r="A308" s="6" t="s">
        <v>651</v>
      </c>
      <c r="B308" s="5">
        <v>49</v>
      </c>
    </row>
    <row r="309" spans="1:2" x14ac:dyDescent="0.3">
      <c r="A309" s="6" t="s">
        <v>647</v>
      </c>
      <c r="B309" s="5">
        <v>149</v>
      </c>
    </row>
    <row r="310" spans="1:2" x14ac:dyDescent="0.3">
      <c r="A310" s="6" t="s">
        <v>628</v>
      </c>
      <c r="B310" s="5">
        <v>299</v>
      </c>
    </row>
    <row r="311" spans="1:2" x14ac:dyDescent="0.3">
      <c r="A311" s="6" t="s">
        <v>652</v>
      </c>
      <c r="B311" s="5">
        <v>149</v>
      </c>
    </row>
    <row r="312" spans="1:2" x14ac:dyDescent="0.3">
      <c r="A312" s="6" t="s">
        <v>634</v>
      </c>
      <c r="B312" s="5">
        <v>1499</v>
      </c>
    </row>
    <row r="313" spans="1:2" x14ac:dyDescent="0.3">
      <c r="A313" s="6" t="s">
        <v>629</v>
      </c>
      <c r="B313" s="5">
        <v>1597</v>
      </c>
    </row>
    <row r="314" spans="1:2" x14ac:dyDescent="0.3">
      <c r="A314" s="6" t="s">
        <v>635</v>
      </c>
      <c r="B314" s="5">
        <v>49</v>
      </c>
    </row>
    <row r="315" spans="1:2" x14ac:dyDescent="0.3">
      <c r="A315" s="6" t="s">
        <v>641</v>
      </c>
      <c r="B315" s="5">
        <v>4999</v>
      </c>
    </row>
    <row r="316" spans="1:2" x14ac:dyDescent="0.3">
      <c r="A316" s="6" t="s">
        <v>649</v>
      </c>
      <c r="B316" s="5">
        <v>499</v>
      </c>
    </row>
    <row r="317" spans="1:2" x14ac:dyDescent="0.3">
      <c r="A317" s="6" t="s">
        <v>636</v>
      </c>
      <c r="B317" s="5">
        <v>49</v>
      </c>
    </row>
    <row r="318" spans="1:2" x14ac:dyDescent="0.3">
      <c r="A318" s="6" t="s">
        <v>630</v>
      </c>
      <c r="B318" s="5">
        <v>3998</v>
      </c>
    </row>
    <row r="319" spans="1:2" x14ac:dyDescent="0.3">
      <c r="A319" s="6" t="s">
        <v>644</v>
      </c>
      <c r="B319" s="5">
        <v>99</v>
      </c>
    </row>
    <row r="320" spans="1:2" x14ac:dyDescent="0.3">
      <c r="A320" s="4" t="s">
        <v>602</v>
      </c>
      <c r="B320" s="5">
        <v>9540</v>
      </c>
    </row>
    <row r="321" spans="1:2" x14ac:dyDescent="0.3">
      <c r="A321" s="6" t="s">
        <v>632</v>
      </c>
      <c r="B321" s="5">
        <v>49</v>
      </c>
    </row>
    <row r="322" spans="1:2" x14ac:dyDescent="0.3">
      <c r="A322" s="6" t="s">
        <v>626</v>
      </c>
      <c r="B322" s="5">
        <v>2999</v>
      </c>
    </row>
    <row r="323" spans="1:2" x14ac:dyDescent="0.3">
      <c r="A323" s="6" t="s">
        <v>647</v>
      </c>
      <c r="B323" s="5">
        <v>499</v>
      </c>
    </row>
    <row r="324" spans="1:2" x14ac:dyDescent="0.3">
      <c r="A324" s="6" t="s">
        <v>627</v>
      </c>
      <c r="B324" s="5">
        <v>49</v>
      </c>
    </row>
    <row r="325" spans="1:2" x14ac:dyDescent="0.3">
      <c r="A325" s="6" t="s">
        <v>652</v>
      </c>
      <c r="B325" s="5">
        <v>49</v>
      </c>
    </row>
    <row r="326" spans="1:2" x14ac:dyDescent="0.3">
      <c r="A326" s="6" t="s">
        <v>634</v>
      </c>
      <c r="B326" s="5">
        <v>2999</v>
      </c>
    </row>
    <row r="327" spans="1:2" x14ac:dyDescent="0.3">
      <c r="A327" s="6" t="s">
        <v>640</v>
      </c>
      <c r="B327" s="5">
        <v>299</v>
      </c>
    </row>
    <row r="328" spans="1:2" x14ac:dyDescent="0.3">
      <c r="A328" s="6" t="s">
        <v>649</v>
      </c>
      <c r="B328" s="5">
        <v>1999</v>
      </c>
    </row>
    <row r="329" spans="1:2" x14ac:dyDescent="0.3">
      <c r="A329" s="6" t="s">
        <v>636</v>
      </c>
      <c r="B329" s="5">
        <v>99</v>
      </c>
    </row>
    <row r="330" spans="1:2" x14ac:dyDescent="0.3">
      <c r="A330" s="6" t="s">
        <v>638</v>
      </c>
      <c r="B330" s="5">
        <v>499</v>
      </c>
    </row>
    <row r="331" spans="1:2" x14ac:dyDescent="0.3">
      <c r="A331" s="4" t="s">
        <v>603</v>
      </c>
      <c r="B331" s="5">
        <v>13081</v>
      </c>
    </row>
    <row r="332" spans="1:2" x14ac:dyDescent="0.3">
      <c r="A332" s="6" t="s">
        <v>651</v>
      </c>
      <c r="B332" s="5">
        <v>99</v>
      </c>
    </row>
    <row r="333" spans="1:2" x14ac:dyDescent="0.3">
      <c r="A333" s="6" t="s">
        <v>624</v>
      </c>
      <c r="B333" s="5">
        <v>799</v>
      </c>
    </row>
    <row r="334" spans="1:2" x14ac:dyDescent="0.3">
      <c r="A334" s="6" t="s">
        <v>632</v>
      </c>
      <c r="B334" s="5">
        <v>2999</v>
      </c>
    </row>
    <row r="335" spans="1:2" x14ac:dyDescent="0.3">
      <c r="A335" s="6" t="s">
        <v>626</v>
      </c>
      <c r="B335" s="5">
        <v>499</v>
      </c>
    </row>
    <row r="336" spans="1:2" x14ac:dyDescent="0.3">
      <c r="A336" s="6" t="s">
        <v>628</v>
      </c>
      <c r="B336" s="5">
        <v>399</v>
      </c>
    </row>
    <row r="337" spans="1:2" x14ac:dyDescent="0.3">
      <c r="A337" s="6" t="s">
        <v>652</v>
      </c>
      <c r="B337" s="5">
        <v>1998</v>
      </c>
    </row>
    <row r="338" spans="1:2" x14ac:dyDescent="0.3">
      <c r="A338" s="6" t="s">
        <v>634</v>
      </c>
      <c r="B338" s="5">
        <v>1098</v>
      </c>
    </row>
    <row r="339" spans="1:2" x14ac:dyDescent="0.3">
      <c r="A339" s="6" t="s">
        <v>629</v>
      </c>
      <c r="B339" s="5">
        <v>49</v>
      </c>
    </row>
    <row r="340" spans="1:2" x14ac:dyDescent="0.3">
      <c r="A340" s="6" t="s">
        <v>635</v>
      </c>
      <c r="B340" s="5">
        <v>49</v>
      </c>
    </row>
    <row r="341" spans="1:2" x14ac:dyDescent="0.3">
      <c r="A341" s="6" t="s">
        <v>641</v>
      </c>
      <c r="B341" s="5">
        <v>149</v>
      </c>
    </row>
    <row r="342" spans="1:2" x14ac:dyDescent="0.3">
      <c r="A342" s="6" t="s">
        <v>645</v>
      </c>
      <c r="B342" s="5">
        <v>3896</v>
      </c>
    </row>
    <row r="343" spans="1:2" x14ac:dyDescent="0.3">
      <c r="A343" s="6" t="s">
        <v>650</v>
      </c>
      <c r="B343" s="5">
        <v>898</v>
      </c>
    </row>
    <row r="344" spans="1:2" x14ac:dyDescent="0.3">
      <c r="A344" s="6" t="s">
        <v>653</v>
      </c>
      <c r="B344" s="5">
        <v>149</v>
      </c>
    </row>
    <row r="345" spans="1:2" x14ac:dyDescent="0.3">
      <c r="A345" s="4" t="s">
        <v>604</v>
      </c>
      <c r="B345" s="5">
        <v>7883</v>
      </c>
    </row>
    <row r="346" spans="1:2" x14ac:dyDescent="0.3">
      <c r="A346" s="6" t="s">
        <v>639</v>
      </c>
      <c r="B346" s="5">
        <v>149</v>
      </c>
    </row>
    <row r="347" spans="1:2" x14ac:dyDescent="0.3">
      <c r="A347" s="6" t="s">
        <v>632</v>
      </c>
      <c r="B347" s="5">
        <v>1197</v>
      </c>
    </row>
    <row r="348" spans="1:2" x14ac:dyDescent="0.3">
      <c r="A348" s="6" t="s">
        <v>626</v>
      </c>
      <c r="B348" s="5">
        <v>99</v>
      </c>
    </row>
    <row r="349" spans="1:2" x14ac:dyDescent="0.3">
      <c r="A349" s="6" t="s">
        <v>628</v>
      </c>
      <c r="B349" s="5">
        <v>499</v>
      </c>
    </row>
    <row r="350" spans="1:2" x14ac:dyDescent="0.3">
      <c r="A350" s="6" t="s">
        <v>633</v>
      </c>
      <c r="B350" s="5">
        <v>1499</v>
      </c>
    </row>
    <row r="351" spans="1:2" x14ac:dyDescent="0.3">
      <c r="A351" s="6" t="s">
        <v>652</v>
      </c>
      <c r="B351" s="5">
        <v>2497</v>
      </c>
    </row>
    <row r="352" spans="1:2" x14ac:dyDescent="0.3">
      <c r="A352" s="6" t="s">
        <v>634</v>
      </c>
      <c r="B352" s="5">
        <v>49</v>
      </c>
    </row>
    <row r="353" spans="1:2" x14ac:dyDescent="0.3">
      <c r="A353" s="6" t="s">
        <v>629</v>
      </c>
      <c r="B353" s="5">
        <v>49</v>
      </c>
    </row>
    <row r="354" spans="1:2" x14ac:dyDescent="0.3">
      <c r="A354" s="6" t="s">
        <v>648</v>
      </c>
      <c r="B354" s="5">
        <v>799</v>
      </c>
    </row>
    <row r="355" spans="1:2" x14ac:dyDescent="0.3">
      <c r="A355" s="6" t="s">
        <v>637</v>
      </c>
      <c r="B355" s="5">
        <v>799</v>
      </c>
    </row>
    <row r="356" spans="1:2" x14ac:dyDescent="0.3">
      <c r="A356" s="6" t="s">
        <v>653</v>
      </c>
      <c r="B356" s="5">
        <v>49</v>
      </c>
    </row>
    <row r="357" spans="1:2" x14ac:dyDescent="0.3">
      <c r="A357" s="6" t="s">
        <v>642</v>
      </c>
      <c r="B357" s="5">
        <v>149</v>
      </c>
    </row>
    <row r="358" spans="1:2" x14ac:dyDescent="0.3">
      <c r="A358" s="6" t="s">
        <v>638</v>
      </c>
      <c r="B358" s="5">
        <v>49</v>
      </c>
    </row>
    <row r="359" spans="1:2" x14ac:dyDescent="0.3">
      <c r="A359" s="4" t="s">
        <v>605</v>
      </c>
      <c r="B359" s="5">
        <v>4835</v>
      </c>
    </row>
    <row r="360" spans="1:2" x14ac:dyDescent="0.3">
      <c r="A360" s="6" t="s">
        <v>624</v>
      </c>
      <c r="B360" s="5">
        <v>49</v>
      </c>
    </row>
    <row r="361" spans="1:2" x14ac:dyDescent="0.3">
      <c r="A361" s="6" t="s">
        <v>631</v>
      </c>
      <c r="B361" s="5">
        <v>49</v>
      </c>
    </row>
    <row r="362" spans="1:2" x14ac:dyDescent="0.3">
      <c r="A362" s="6" t="s">
        <v>626</v>
      </c>
      <c r="B362" s="5">
        <v>1499</v>
      </c>
    </row>
    <row r="363" spans="1:2" x14ac:dyDescent="0.3">
      <c r="A363" s="6" t="s">
        <v>647</v>
      </c>
      <c r="B363" s="5">
        <v>499</v>
      </c>
    </row>
    <row r="364" spans="1:2" x14ac:dyDescent="0.3">
      <c r="A364" s="6" t="s">
        <v>628</v>
      </c>
      <c r="B364" s="5">
        <v>598</v>
      </c>
    </row>
    <row r="365" spans="1:2" x14ac:dyDescent="0.3">
      <c r="A365" s="6" t="s">
        <v>633</v>
      </c>
      <c r="B365" s="5">
        <v>299</v>
      </c>
    </row>
    <row r="366" spans="1:2" x14ac:dyDescent="0.3">
      <c r="A366" s="6" t="s">
        <v>652</v>
      </c>
      <c r="B366" s="5">
        <v>499</v>
      </c>
    </row>
    <row r="367" spans="1:2" x14ac:dyDescent="0.3">
      <c r="A367" s="6" t="s">
        <v>634</v>
      </c>
      <c r="B367" s="5">
        <v>299</v>
      </c>
    </row>
    <row r="368" spans="1:2" x14ac:dyDescent="0.3">
      <c r="A368" s="6" t="s">
        <v>640</v>
      </c>
      <c r="B368" s="5">
        <v>499</v>
      </c>
    </row>
    <row r="369" spans="1:2" x14ac:dyDescent="0.3">
      <c r="A369" s="6" t="s">
        <v>648</v>
      </c>
      <c r="B369" s="5">
        <v>49</v>
      </c>
    </row>
    <row r="370" spans="1:2" x14ac:dyDescent="0.3">
      <c r="A370" s="6" t="s">
        <v>649</v>
      </c>
      <c r="B370" s="5">
        <v>49</v>
      </c>
    </row>
    <row r="371" spans="1:2" x14ac:dyDescent="0.3">
      <c r="A371" s="6" t="s">
        <v>636</v>
      </c>
      <c r="B371" s="5">
        <v>99</v>
      </c>
    </row>
    <row r="372" spans="1:2" x14ac:dyDescent="0.3">
      <c r="A372" s="6" t="s">
        <v>653</v>
      </c>
      <c r="B372" s="5">
        <v>299</v>
      </c>
    </row>
    <row r="373" spans="1:2" x14ac:dyDescent="0.3">
      <c r="A373" s="6" t="s">
        <v>642</v>
      </c>
      <c r="B373" s="5">
        <v>49</v>
      </c>
    </row>
    <row r="374" spans="1:2" x14ac:dyDescent="0.3">
      <c r="A374" s="4" t="s">
        <v>606</v>
      </c>
      <c r="B374" s="5">
        <v>8086</v>
      </c>
    </row>
    <row r="375" spans="1:2" x14ac:dyDescent="0.3">
      <c r="A375" s="6" t="s">
        <v>639</v>
      </c>
      <c r="B375" s="5">
        <v>149</v>
      </c>
    </row>
    <row r="376" spans="1:2" x14ac:dyDescent="0.3">
      <c r="A376" s="6" t="s">
        <v>651</v>
      </c>
      <c r="B376" s="5">
        <v>49</v>
      </c>
    </row>
    <row r="377" spans="1:2" x14ac:dyDescent="0.3">
      <c r="A377" s="6" t="s">
        <v>625</v>
      </c>
      <c r="B377" s="5">
        <v>149</v>
      </c>
    </row>
    <row r="378" spans="1:2" x14ac:dyDescent="0.3">
      <c r="A378" s="6" t="s">
        <v>626</v>
      </c>
      <c r="B378" s="5">
        <v>499</v>
      </c>
    </row>
    <row r="379" spans="1:2" x14ac:dyDescent="0.3">
      <c r="A379" s="6" t="s">
        <v>633</v>
      </c>
      <c r="B379" s="5">
        <v>1999</v>
      </c>
    </row>
    <row r="380" spans="1:2" x14ac:dyDescent="0.3">
      <c r="A380" s="6" t="s">
        <v>634</v>
      </c>
      <c r="B380" s="5">
        <v>148</v>
      </c>
    </row>
    <row r="381" spans="1:2" x14ac:dyDescent="0.3">
      <c r="A381" s="6" t="s">
        <v>648</v>
      </c>
      <c r="B381" s="5">
        <v>149</v>
      </c>
    </row>
    <row r="382" spans="1:2" x14ac:dyDescent="0.3">
      <c r="A382" s="6" t="s">
        <v>649</v>
      </c>
      <c r="B382" s="5">
        <v>348</v>
      </c>
    </row>
    <row r="383" spans="1:2" x14ac:dyDescent="0.3">
      <c r="A383" s="6" t="s">
        <v>644</v>
      </c>
      <c r="B383" s="5">
        <v>49</v>
      </c>
    </row>
    <row r="384" spans="1:2" x14ac:dyDescent="0.3">
      <c r="A384" s="6" t="s">
        <v>645</v>
      </c>
      <c r="B384" s="5">
        <v>49</v>
      </c>
    </row>
    <row r="385" spans="1:2" x14ac:dyDescent="0.3">
      <c r="A385" s="6" t="s">
        <v>650</v>
      </c>
      <c r="B385" s="5">
        <v>1499</v>
      </c>
    </row>
    <row r="386" spans="1:2" x14ac:dyDescent="0.3">
      <c r="A386" s="6" t="s">
        <v>653</v>
      </c>
      <c r="B386" s="5">
        <v>2999</v>
      </c>
    </row>
    <row r="387" spans="1:2" x14ac:dyDescent="0.3">
      <c r="A387" s="4" t="s">
        <v>607</v>
      </c>
      <c r="B387" s="5">
        <v>10339</v>
      </c>
    </row>
    <row r="388" spans="1:2" x14ac:dyDescent="0.3">
      <c r="A388" s="6" t="s">
        <v>639</v>
      </c>
      <c r="B388" s="5">
        <v>149</v>
      </c>
    </row>
    <row r="389" spans="1:2" x14ac:dyDescent="0.3">
      <c r="A389" s="6" t="s">
        <v>651</v>
      </c>
      <c r="B389" s="5">
        <v>4999</v>
      </c>
    </row>
    <row r="390" spans="1:2" x14ac:dyDescent="0.3">
      <c r="A390" s="6" t="s">
        <v>628</v>
      </c>
      <c r="B390" s="5">
        <v>299</v>
      </c>
    </row>
    <row r="391" spans="1:2" x14ac:dyDescent="0.3">
      <c r="A391" s="6" t="s">
        <v>634</v>
      </c>
      <c r="B391" s="5">
        <v>799</v>
      </c>
    </row>
    <row r="392" spans="1:2" x14ac:dyDescent="0.3">
      <c r="A392" s="6" t="s">
        <v>641</v>
      </c>
      <c r="B392" s="5">
        <v>499</v>
      </c>
    </row>
    <row r="393" spans="1:2" x14ac:dyDescent="0.3">
      <c r="A393" s="6" t="s">
        <v>649</v>
      </c>
      <c r="B393" s="5">
        <v>3298</v>
      </c>
    </row>
    <row r="394" spans="1:2" x14ac:dyDescent="0.3">
      <c r="A394" s="6" t="s">
        <v>636</v>
      </c>
      <c r="B394" s="5">
        <v>99</v>
      </c>
    </row>
    <row r="395" spans="1:2" x14ac:dyDescent="0.3">
      <c r="A395" s="6" t="s">
        <v>630</v>
      </c>
      <c r="B395" s="5">
        <v>49</v>
      </c>
    </row>
    <row r="396" spans="1:2" x14ac:dyDescent="0.3">
      <c r="A396" s="6" t="s">
        <v>644</v>
      </c>
      <c r="B396" s="5">
        <v>49</v>
      </c>
    </row>
    <row r="397" spans="1:2" x14ac:dyDescent="0.3">
      <c r="A397" s="6" t="s">
        <v>645</v>
      </c>
      <c r="B397" s="5">
        <v>99</v>
      </c>
    </row>
    <row r="398" spans="1:2" x14ac:dyDescent="0.3">
      <c r="A398" s="4" t="s">
        <v>608</v>
      </c>
      <c r="B398" s="5">
        <v>10034</v>
      </c>
    </row>
    <row r="399" spans="1:2" x14ac:dyDescent="0.3">
      <c r="A399" s="6" t="s">
        <v>643</v>
      </c>
      <c r="B399" s="5">
        <v>548</v>
      </c>
    </row>
    <row r="400" spans="1:2" x14ac:dyDescent="0.3">
      <c r="A400" s="6" t="s">
        <v>624</v>
      </c>
      <c r="B400" s="5">
        <v>2999</v>
      </c>
    </row>
    <row r="401" spans="1:2" x14ac:dyDescent="0.3">
      <c r="A401" s="6" t="s">
        <v>626</v>
      </c>
      <c r="B401" s="5">
        <v>299</v>
      </c>
    </row>
    <row r="402" spans="1:2" x14ac:dyDescent="0.3">
      <c r="A402" s="6" t="s">
        <v>647</v>
      </c>
      <c r="B402" s="5">
        <v>49</v>
      </c>
    </row>
    <row r="403" spans="1:2" x14ac:dyDescent="0.3">
      <c r="A403" s="6" t="s">
        <v>628</v>
      </c>
      <c r="B403" s="5">
        <v>399</v>
      </c>
    </row>
    <row r="404" spans="1:2" x14ac:dyDescent="0.3">
      <c r="A404" s="6" t="s">
        <v>629</v>
      </c>
      <c r="B404" s="5">
        <v>299</v>
      </c>
    </row>
    <row r="405" spans="1:2" x14ac:dyDescent="0.3">
      <c r="A405" s="6" t="s">
        <v>648</v>
      </c>
      <c r="B405" s="5">
        <v>148</v>
      </c>
    </row>
    <row r="406" spans="1:2" x14ac:dyDescent="0.3">
      <c r="A406" s="6" t="s">
        <v>635</v>
      </c>
      <c r="B406" s="5">
        <v>499</v>
      </c>
    </row>
    <row r="407" spans="1:2" x14ac:dyDescent="0.3">
      <c r="A407" s="6" t="s">
        <v>649</v>
      </c>
      <c r="B407" s="5">
        <v>799</v>
      </c>
    </row>
    <row r="408" spans="1:2" x14ac:dyDescent="0.3">
      <c r="A408" s="6" t="s">
        <v>636</v>
      </c>
      <c r="B408" s="5">
        <v>299</v>
      </c>
    </row>
    <row r="409" spans="1:2" x14ac:dyDescent="0.3">
      <c r="A409" s="6" t="s">
        <v>630</v>
      </c>
      <c r="B409" s="5">
        <v>3148</v>
      </c>
    </row>
    <row r="410" spans="1:2" x14ac:dyDescent="0.3">
      <c r="A410" s="6" t="s">
        <v>644</v>
      </c>
      <c r="B410" s="5">
        <v>548</v>
      </c>
    </row>
    <row r="411" spans="1:2" x14ac:dyDescent="0.3">
      <c r="A411" s="4" t="s">
        <v>609</v>
      </c>
      <c r="B411" s="5">
        <v>9286</v>
      </c>
    </row>
    <row r="412" spans="1:2" x14ac:dyDescent="0.3">
      <c r="A412" s="6" t="s">
        <v>646</v>
      </c>
      <c r="B412" s="5">
        <v>798</v>
      </c>
    </row>
    <row r="413" spans="1:2" x14ac:dyDescent="0.3">
      <c r="A413" s="6" t="s">
        <v>643</v>
      </c>
      <c r="B413" s="5">
        <v>1847</v>
      </c>
    </row>
    <row r="414" spans="1:2" x14ac:dyDescent="0.3">
      <c r="A414" s="6" t="s">
        <v>627</v>
      </c>
      <c r="B414" s="5">
        <v>4999</v>
      </c>
    </row>
    <row r="415" spans="1:2" x14ac:dyDescent="0.3">
      <c r="A415" s="6" t="s">
        <v>628</v>
      </c>
      <c r="B415" s="5">
        <v>99</v>
      </c>
    </row>
    <row r="416" spans="1:2" x14ac:dyDescent="0.3">
      <c r="A416" s="6" t="s">
        <v>633</v>
      </c>
      <c r="B416" s="5">
        <v>149</v>
      </c>
    </row>
    <row r="417" spans="1:2" x14ac:dyDescent="0.3">
      <c r="A417" s="6" t="s">
        <v>649</v>
      </c>
      <c r="B417" s="5">
        <v>299</v>
      </c>
    </row>
    <row r="418" spans="1:2" x14ac:dyDescent="0.3">
      <c r="A418" s="6" t="s">
        <v>636</v>
      </c>
      <c r="B418" s="5">
        <v>299</v>
      </c>
    </row>
    <row r="419" spans="1:2" x14ac:dyDescent="0.3">
      <c r="A419" s="6" t="s">
        <v>644</v>
      </c>
      <c r="B419" s="5">
        <v>149</v>
      </c>
    </row>
    <row r="420" spans="1:2" x14ac:dyDescent="0.3">
      <c r="A420" s="6" t="s">
        <v>637</v>
      </c>
      <c r="B420" s="5">
        <v>499</v>
      </c>
    </row>
    <row r="421" spans="1:2" x14ac:dyDescent="0.3">
      <c r="A421" s="6" t="s">
        <v>653</v>
      </c>
      <c r="B421" s="5">
        <v>49</v>
      </c>
    </row>
    <row r="422" spans="1:2" x14ac:dyDescent="0.3">
      <c r="A422" s="6" t="s">
        <v>638</v>
      </c>
      <c r="B422" s="5">
        <v>99</v>
      </c>
    </row>
    <row r="423" spans="1:2" x14ac:dyDescent="0.3">
      <c r="A423" s="4" t="s">
        <v>610</v>
      </c>
      <c r="B423" s="5">
        <v>12534</v>
      </c>
    </row>
    <row r="424" spans="1:2" x14ac:dyDescent="0.3">
      <c r="A424" s="6" t="s">
        <v>646</v>
      </c>
      <c r="B424" s="5">
        <v>149</v>
      </c>
    </row>
    <row r="425" spans="1:2" x14ac:dyDescent="0.3">
      <c r="A425" s="6" t="s">
        <v>643</v>
      </c>
      <c r="B425" s="5">
        <v>299</v>
      </c>
    </row>
    <row r="426" spans="1:2" x14ac:dyDescent="0.3">
      <c r="A426" s="6" t="s">
        <v>639</v>
      </c>
      <c r="B426" s="5">
        <v>248</v>
      </c>
    </row>
    <row r="427" spans="1:2" x14ac:dyDescent="0.3">
      <c r="A427" s="6" t="s">
        <v>651</v>
      </c>
      <c r="B427" s="5">
        <v>149</v>
      </c>
    </row>
    <row r="428" spans="1:2" x14ac:dyDescent="0.3">
      <c r="A428" s="6" t="s">
        <v>640</v>
      </c>
      <c r="B428" s="5">
        <v>1499</v>
      </c>
    </row>
    <row r="429" spans="1:2" x14ac:dyDescent="0.3">
      <c r="A429" s="6" t="s">
        <v>629</v>
      </c>
      <c r="B429" s="5">
        <v>1499</v>
      </c>
    </row>
    <row r="430" spans="1:2" x14ac:dyDescent="0.3">
      <c r="A430" s="6" t="s">
        <v>635</v>
      </c>
      <c r="B430" s="5">
        <v>4999</v>
      </c>
    </row>
    <row r="431" spans="1:2" x14ac:dyDescent="0.3">
      <c r="A431" s="6" t="s">
        <v>641</v>
      </c>
      <c r="B431" s="5">
        <v>49</v>
      </c>
    </row>
    <row r="432" spans="1:2" x14ac:dyDescent="0.3">
      <c r="A432" s="6" t="s">
        <v>644</v>
      </c>
      <c r="B432" s="5">
        <v>1647</v>
      </c>
    </row>
    <row r="433" spans="1:2" x14ac:dyDescent="0.3">
      <c r="A433" s="6" t="s">
        <v>637</v>
      </c>
      <c r="B433" s="5">
        <v>198</v>
      </c>
    </row>
    <row r="434" spans="1:2" x14ac:dyDescent="0.3">
      <c r="A434" s="6" t="s">
        <v>653</v>
      </c>
      <c r="B434" s="5">
        <v>999</v>
      </c>
    </row>
    <row r="435" spans="1:2" x14ac:dyDescent="0.3">
      <c r="A435" s="6" t="s">
        <v>642</v>
      </c>
      <c r="B435" s="5">
        <v>799</v>
      </c>
    </row>
    <row r="436" spans="1:2" x14ac:dyDescent="0.3">
      <c r="A436" s="4" t="s">
        <v>612</v>
      </c>
      <c r="B436" s="5">
        <v>12931</v>
      </c>
    </row>
    <row r="437" spans="1:2" x14ac:dyDescent="0.3">
      <c r="A437" s="6" t="s">
        <v>646</v>
      </c>
      <c r="B437" s="5">
        <v>598</v>
      </c>
    </row>
    <row r="438" spans="1:2" x14ac:dyDescent="0.3">
      <c r="A438" s="6" t="s">
        <v>643</v>
      </c>
      <c r="B438" s="5">
        <v>2999</v>
      </c>
    </row>
    <row r="439" spans="1:2" x14ac:dyDescent="0.3">
      <c r="A439" s="6" t="s">
        <v>639</v>
      </c>
      <c r="B439" s="5">
        <v>299</v>
      </c>
    </row>
    <row r="440" spans="1:2" x14ac:dyDescent="0.3">
      <c r="A440" s="6" t="s">
        <v>651</v>
      </c>
      <c r="B440" s="5">
        <v>49</v>
      </c>
    </row>
    <row r="441" spans="1:2" x14ac:dyDescent="0.3">
      <c r="A441" s="6" t="s">
        <v>624</v>
      </c>
      <c r="B441" s="5">
        <v>1499</v>
      </c>
    </row>
    <row r="442" spans="1:2" x14ac:dyDescent="0.3">
      <c r="A442" s="6" t="s">
        <v>625</v>
      </c>
      <c r="B442" s="5">
        <v>99</v>
      </c>
    </row>
    <row r="443" spans="1:2" x14ac:dyDescent="0.3">
      <c r="A443" s="6" t="s">
        <v>628</v>
      </c>
      <c r="B443" s="5">
        <v>149</v>
      </c>
    </row>
    <row r="444" spans="1:2" x14ac:dyDescent="0.3">
      <c r="A444" s="6" t="s">
        <v>640</v>
      </c>
      <c r="B444" s="5">
        <v>2999</v>
      </c>
    </row>
    <row r="445" spans="1:2" x14ac:dyDescent="0.3">
      <c r="A445" s="6" t="s">
        <v>629</v>
      </c>
      <c r="B445" s="5">
        <v>49</v>
      </c>
    </row>
    <row r="446" spans="1:2" x14ac:dyDescent="0.3">
      <c r="A446" s="6" t="s">
        <v>641</v>
      </c>
      <c r="B446" s="5">
        <v>149</v>
      </c>
    </row>
    <row r="447" spans="1:2" x14ac:dyDescent="0.3">
      <c r="A447" s="6" t="s">
        <v>649</v>
      </c>
      <c r="B447" s="5">
        <v>99</v>
      </c>
    </row>
    <row r="448" spans="1:2" x14ac:dyDescent="0.3">
      <c r="A448" s="6" t="s">
        <v>630</v>
      </c>
      <c r="B448" s="5">
        <v>1999</v>
      </c>
    </row>
    <row r="449" spans="1:2" x14ac:dyDescent="0.3">
      <c r="A449" s="6" t="s">
        <v>650</v>
      </c>
      <c r="B449" s="5">
        <v>799</v>
      </c>
    </row>
    <row r="450" spans="1:2" x14ac:dyDescent="0.3">
      <c r="A450" s="6" t="s">
        <v>653</v>
      </c>
      <c r="B450" s="5">
        <v>697</v>
      </c>
    </row>
    <row r="451" spans="1:2" x14ac:dyDescent="0.3">
      <c r="A451" s="6" t="s">
        <v>642</v>
      </c>
      <c r="B451" s="5">
        <v>149</v>
      </c>
    </row>
    <row r="452" spans="1:2" x14ac:dyDescent="0.3">
      <c r="A452" s="6" t="s">
        <v>638</v>
      </c>
      <c r="B452" s="5">
        <v>299</v>
      </c>
    </row>
    <row r="453" spans="1:2" x14ac:dyDescent="0.3">
      <c r="A453" s="4" t="s">
        <v>613</v>
      </c>
      <c r="B453" s="5">
        <v>3940</v>
      </c>
    </row>
    <row r="454" spans="1:2" x14ac:dyDescent="0.3">
      <c r="A454" s="6" t="s">
        <v>624</v>
      </c>
      <c r="B454" s="5">
        <v>1499</v>
      </c>
    </row>
    <row r="455" spans="1:2" x14ac:dyDescent="0.3">
      <c r="A455" s="6" t="s">
        <v>625</v>
      </c>
      <c r="B455" s="5">
        <v>99</v>
      </c>
    </row>
    <row r="456" spans="1:2" x14ac:dyDescent="0.3">
      <c r="A456" s="6" t="s">
        <v>626</v>
      </c>
      <c r="B456" s="5">
        <v>348</v>
      </c>
    </row>
    <row r="457" spans="1:2" x14ac:dyDescent="0.3">
      <c r="A457" s="6" t="s">
        <v>647</v>
      </c>
      <c r="B457" s="5">
        <v>398</v>
      </c>
    </row>
    <row r="458" spans="1:2" x14ac:dyDescent="0.3">
      <c r="A458" s="6" t="s">
        <v>634</v>
      </c>
      <c r="B458" s="5">
        <v>499</v>
      </c>
    </row>
    <row r="459" spans="1:2" x14ac:dyDescent="0.3">
      <c r="A459" s="6" t="s">
        <v>636</v>
      </c>
      <c r="B459" s="5">
        <v>299</v>
      </c>
    </row>
    <row r="460" spans="1:2" x14ac:dyDescent="0.3">
      <c r="A460" s="6" t="s">
        <v>630</v>
      </c>
      <c r="B460" s="5">
        <v>499</v>
      </c>
    </row>
    <row r="461" spans="1:2" x14ac:dyDescent="0.3">
      <c r="A461" s="6" t="s">
        <v>653</v>
      </c>
      <c r="B461" s="5">
        <v>299</v>
      </c>
    </row>
    <row r="462" spans="1:2" x14ac:dyDescent="0.3">
      <c r="A462" s="4" t="s">
        <v>614</v>
      </c>
      <c r="B462" s="5">
        <v>22687</v>
      </c>
    </row>
    <row r="463" spans="1:2" x14ac:dyDescent="0.3">
      <c r="A463" s="6" t="s">
        <v>643</v>
      </c>
      <c r="B463" s="5">
        <v>499</v>
      </c>
    </row>
    <row r="464" spans="1:2" x14ac:dyDescent="0.3">
      <c r="A464" s="6" t="s">
        <v>624</v>
      </c>
      <c r="B464" s="5">
        <v>299</v>
      </c>
    </row>
    <row r="465" spans="1:2" x14ac:dyDescent="0.3">
      <c r="A465" s="6" t="s">
        <v>626</v>
      </c>
      <c r="B465" s="5">
        <v>399</v>
      </c>
    </row>
    <row r="466" spans="1:2" x14ac:dyDescent="0.3">
      <c r="A466" s="6" t="s">
        <v>647</v>
      </c>
      <c r="B466" s="5">
        <v>49</v>
      </c>
    </row>
    <row r="467" spans="1:2" x14ac:dyDescent="0.3">
      <c r="A467" s="6" t="s">
        <v>640</v>
      </c>
      <c r="B467" s="5">
        <v>499</v>
      </c>
    </row>
    <row r="468" spans="1:2" x14ac:dyDescent="0.3">
      <c r="A468" s="6" t="s">
        <v>629</v>
      </c>
      <c r="B468" s="5">
        <v>2999</v>
      </c>
    </row>
    <row r="469" spans="1:2" x14ac:dyDescent="0.3">
      <c r="A469" s="6" t="s">
        <v>648</v>
      </c>
      <c r="B469" s="5">
        <v>2999</v>
      </c>
    </row>
    <row r="470" spans="1:2" x14ac:dyDescent="0.3">
      <c r="A470" s="6" t="s">
        <v>636</v>
      </c>
      <c r="B470" s="5">
        <v>9796</v>
      </c>
    </row>
    <row r="471" spans="1:2" x14ac:dyDescent="0.3">
      <c r="A471" s="6" t="s">
        <v>630</v>
      </c>
      <c r="B471" s="5">
        <v>4999</v>
      </c>
    </row>
    <row r="472" spans="1:2" x14ac:dyDescent="0.3">
      <c r="A472" s="6" t="s">
        <v>642</v>
      </c>
      <c r="B472" s="5">
        <v>149</v>
      </c>
    </row>
    <row r="473" spans="1:2" x14ac:dyDescent="0.3">
      <c r="A473" s="4" t="s">
        <v>615</v>
      </c>
      <c r="B473" s="5">
        <v>8735</v>
      </c>
    </row>
    <row r="474" spans="1:2" x14ac:dyDescent="0.3">
      <c r="A474" s="6" t="s">
        <v>646</v>
      </c>
      <c r="B474" s="5">
        <v>299</v>
      </c>
    </row>
    <row r="475" spans="1:2" x14ac:dyDescent="0.3">
      <c r="A475" s="6" t="s">
        <v>639</v>
      </c>
      <c r="B475" s="5">
        <v>49</v>
      </c>
    </row>
    <row r="476" spans="1:2" x14ac:dyDescent="0.3">
      <c r="A476" s="6" t="s">
        <v>632</v>
      </c>
      <c r="B476" s="5">
        <v>49</v>
      </c>
    </row>
    <row r="477" spans="1:2" x14ac:dyDescent="0.3">
      <c r="A477" s="6" t="s">
        <v>627</v>
      </c>
      <c r="B477" s="5">
        <v>4999</v>
      </c>
    </row>
    <row r="478" spans="1:2" x14ac:dyDescent="0.3">
      <c r="A478" s="6" t="s">
        <v>628</v>
      </c>
      <c r="B478" s="5">
        <v>99</v>
      </c>
    </row>
    <row r="479" spans="1:2" x14ac:dyDescent="0.3">
      <c r="A479" s="6" t="s">
        <v>633</v>
      </c>
      <c r="B479" s="5">
        <v>299</v>
      </c>
    </row>
    <row r="480" spans="1:2" x14ac:dyDescent="0.3">
      <c r="A480" s="6" t="s">
        <v>652</v>
      </c>
      <c r="B480" s="5">
        <v>99</v>
      </c>
    </row>
    <row r="481" spans="1:2" x14ac:dyDescent="0.3">
      <c r="A481" s="6" t="s">
        <v>634</v>
      </c>
      <c r="B481" s="5">
        <v>149</v>
      </c>
    </row>
    <row r="482" spans="1:2" x14ac:dyDescent="0.3">
      <c r="A482" s="6" t="s">
        <v>648</v>
      </c>
      <c r="B482" s="5">
        <v>799</v>
      </c>
    </row>
    <row r="483" spans="1:2" x14ac:dyDescent="0.3">
      <c r="A483" s="6" t="s">
        <v>635</v>
      </c>
      <c r="B483" s="5">
        <v>648</v>
      </c>
    </row>
    <row r="484" spans="1:2" x14ac:dyDescent="0.3">
      <c r="A484" s="6" t="s">
        <v>630</v>
      </c>
      <c r="B484" s="5">
        <v>598</v>
      </c>
    </row>
    <row r="485" spans="1:2" x14ac:dyDescent="0.3">
      <c r="A485" s="6" t="s">
        <v>642</v>
      </c>
      <c r="B485" s="5">
        <v>149</v>
      </c>
    </row>
    <row r="486" spans="1:2" x14ac:dyDescent="0.3">
      <c r="A486" s="6" t="s">
        <v>638</v>
      </c>
      <c r="B486" s="5">
        <v>499</v>
      </c>
    </row>
    <row r="487" spans="1:2" x14ac:dyDescent="0.3">
      <c r="A487" s="4" t="s">
        <v>622</v>
      </c>
      <c r="B487" s="5">
        <v>382603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39D1-D40F-43DF-AC7D-410FE8BBBA3B}">
  <dimension ref="A3:D25"/>
  <sheetViews>
    <sheetView workbookViewId="0">
      <selection activeCell="A6" sqref="A6"/>
    </sheetView>
  </sheetViews>
  <sheetFormatPr defaultRowHeight="14.4" x14ac:dyDescent="0.3"/>
  <cols>
    <col min="1" max="1" width="16.21875" bestFit="1" customWidth="1"/>
    <col min="2" max="2" width="17.5546875" bestFit="1" customWidth="1"/>
    <col min="3" max="3" width="21" bestFit="1" customWidth="1"/>
    <col min="4" max="4" width="30.21875" bestFit="1" customWidth="1"/>
  </cols>
  <sheetData>
    <row r="3" spans="1:4" x14ac:dyDescent="0.3">
      <c r="A3" s="3" t="s">
        <v>621</v>
      </c>
      <c r="B3" t="s">
        <v>623</v>
      </c>
      <c r="C3" t="s">
        <v>620</v>
      </c>
      <c r="D3" t="s">
        <v>656</v>
      </c>
    </row>
    <row r="4" spans="1:4" x14ac:dyDescent="0.3">
      <c r="A4" s="4" t="s">
        <v>565</v>
      </c>
      <c r="B4" s="5"/>
      <c r="C4" s="5"/>
      <c r="D4" s="5"/>
    </row>
    <row r="5" spans="1:4" x14ac:dyDescent="0.3">
      <c r="A5" s="6">
        <v>1</v>
      </c>
      <c r="B5" s="5"/>
      <c r="C5" s="5"/>
      <c r="D5" s="5"/>
    </row>
    <row r="6" spans="1:4" x14ac:dyDescent="0.3">
      <c r="A6" s="7" t="s">
        <v>10</v>
      </c>
      <c r="B6" s="5">
        <v>10142</v>
      </c>
      <c r="C6" s="5">
        <v>8</v>
      </c>
      <c r="D6" s="5">
        <v>6</v>
      </c>
    </row>
    <row r="7" spans="1:4" x14ac:dyDescent="0.3">
      <c r="A7" s="7" t="s">
        <v>25</v>
      </c>
      <c r="B7" s="5">
        <v>299</v>
      </c>
      <c r="C7" s="5">
        <v>1</v>
      </c>
      <c r="D7" s="5">
        <v>1</v>
      </c>
    </row>
    <row r="8" spans="1:4" x14ac:dyDescent="0.3">
      <c r="A8" s="4" t="s">
        <v>573</v>
      </c>
      <c r="B8" s="5"/>
      <c r="C8" s="5"/>
      <c r="D8" s="5"/>
    </row>
    <row r="9" spans="1:4" x14ac:dyDescent="0.3">
      <c r="A9" s="6">
        <v>4</v>
      </c>
      <c r="B9" s="5"/>
      <c r="C9" s="5"/>
      <c r="D9" s="5"/>
    </row>
    <row r="10" spans="1:4" x14ac:dyDescent="0.3">
      <c r="A10" s="7" t="s">
        <v>10</v>
      </c>
      <c r="B10" s="5">
        <v>6941</v>
      </c>
      <c r="C10" s="5">
        <v>9</v>
      </c>
      <c r="D10" s="5">
        <v>7</v>
      </c>
    </row>
    <row r="11" spans="1:4" x14ac:dyDescent="0.3">
      <c r="A11" s="4" t="s">
        <v>578</v>
      </c>
      <c r="B11" s="5"/>
      <c r="C11" s="5"/>
      <c r="D11" s="5"/>
    </row>
    <row r="12" spans="1:4" x14ac:dyDescent="0.3">
      <c r="A12" s="6">
        <v>7</v>
      </c>
      <c r="B12" s="5"/>
      <c r="C12" s="5"/>
      <c r="D12" s="5"/>
    </row>
    <row r="13" spans="1:4" x14ac:dyDescent="0.3">
      <c r="A13" s="7" t="s">
        <v>10</v>
      </c>
      <c r="B13" s="5">
        <v>11638</v>
      </c>
      <c r="C13" s="5">
        <v>12</v>
      </c>
      <c r="D13" s="5">
        <v>10</v>
      </c>
    </row>
    <row r="14" spans="1:4" x14ac:dyDescent="0.3">
      <c r="A14" s="7" t="s">
        <v>38</v>
      </c>
      <c r="B14" s="5">
        <v>1999</v>
      </c>
      <c r="C14" s="5">
        <v>1</v>
      </c>
      <c r="D14" s="5">
        <v>1</v>
      </c>
    </row>
    <row r="15" spans="1:4" x14ac:dyDescent="0.3">
      <c r="A15" s="7" t="s">
        <v>25</v>
      </c>
      <c r="B15" s="5">
        <v>2297</v>
      </c>
      <c r="C15" s="5">
        <v>3</v>
      </c>
      <c r="D15" s="5">
        <v>2</v>
      </c>
    </row>
    <row r="16" spans="1:4" x14ac:dyDescent="0.3">
      <c r="A16" s="4" t="s">
        <v>585</v>
      </c>
      <c r="B16" s="5"/>
      <c r="C16" s="5"/>
      <c r="D16" s="5"/>
    </row>
    <row r="17" spans="1:4" x14ac:dyDescent="0.3">
      <c r="A17" s="6">
        <v>13</v>
      </c>
      <c r="B17" s="5"/>
      <c r="C17" s="5"/>
      <c r="D17" s="5"/>
    </row>
    <row r="18" spans="1:4" x14ac:dyDescent="0.3">
      <c r="A18" s="7" t="s">
        <v>10</v>
      </c>
      <c r="B18" s="5">
        <v>10390</v>
      </c>
      <c r="C18" s="5">
        <v>10</v>
      </c>
      <c r="D18" s="5">
        <v>9</v>
      </c>
    </row>
    <row r="19" spans="1:4" x14ac:dyDescent="0.3">
      <c r="A19" s="7" t="s">
        <v>38</v>
      </c>
      <c r="B19" s="5">
        <v>4999</v>
      </c>
      <c r="C19" s="5">
        <v>1</v>
      </c>
      <c r="D19" s="5">
        <v>1</v>
      </c>
    </row>
    <row r="20" spans="1:4" x14ac:dyDescent="0.3">
      <c r="A20" s="7" t="s">
        <v>25</v>
      </c>
      <c r="B20" s="5">
        <v>2999</v>
      </c>
      <c r="C20" s="5">
        <v>1</v>
      </c>
      <c r="D20" s="5">
        <v>1</v>
      </c>
    </row>
    <row r="21" spans="1:4" x14ac:dyDescent="0.3">
      <c r="A21" s="4" t="s">
        <v>591</v>
      </c>
      <c r="B21" s="5"/>
      <c r="C21" s="5"/>
      <c r="D21" s="5"/>
    </row>
    <row r="22" spans="1:4" x14ac:dyDescent="0.3">
      <c r="A22" s="6">
        <v>17</v>
      </c>
      <c r="B22" s="5"/>
      <c r="C22" s="5"/>
      <c r="D22" s="5"/>
    </row>
    <row r="23" spans="1:4" x14ac:dyDescent="0.3">
      <c r="A23" s="7" t="s">
        <v>10</v>
      </c>
      <c r="B23" s="5">
        <v>12738</v>
      </c>
      <c r="C23" s="5">
        <v>12</v>
      </c>
      <c r="D23" s="5">
        <v>9</v>
      </c>
    </row>
    <row r="24" spans="1:4" x14ac:dyDescent="0.3">
      <c r="A24" s="7" t="s">
        <v>25</v>
      </c>
      <c r="B24" s="5">
        <v>299</v>
      </c>
      <c r="C24" s="5">
        <v>1</v>
      </c>
      <c r="D24" s="5">
        <v>1</v>
      </c>
    </row>
    <row r="25" spans="1:4" x14ac:dyDescent="0.3">
      <c r="A25" s="4" t="s">
        <v>622</v>
      </c>
      <c r="B25" s="5">
        <v>64741</v>
      </c>
      <c r="C25" s="5">
        <v>59</v>
      </c>
      <c r="D25" s="5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FBCC-3309-4D0A-9D97-A52A14B1BF41}">
  <dimension ref="A1:N548"/>
  <sheetViews>
    <sheetView tabSelected="1" workbookViewId="0">
      <selection activeCell="E21" sqref="E21"/>
    </sheetView>
  </sheetViews>
  <sheetFormatPr defaultRowHeight="14.4" x14ac:dyDescent="0.3"/>
  <cols>
    <col min="1" max="1" width="12.6640625" bestFit="1" customWidth="1"/>
    <col min="2" max="2" width="6.88671875" bestFit="1" customWidth="1"/>
    <col min="3" max="3" width="11.21875" bestFit="1" customWidth="1"/>
    <col min="4" max="4" width="15.44140625" bestFit="1" customWidth="1"/>
    <col min="5" max="5" width="15.44140625" customWidth="1"/>
    <col min="6" max="6" width="10.44140625" bestFit="1" customWidth="1"/>
    <col min="7" max="7" width="15.5546875" bestFit="1" customWidth="1"/>
    <col min="8" max="8" width="10.21875" bestFit="1" customWidth="1"/>
    <col min="9" max="9" width="9.21875" bestFit="1" customWidth="1"/>
    <col min="10" max="11" width="17.5546875" bestFit="1" customWidth="1"/>
    <col min="13" max="13" width="13.33203125" style="2" bestFit="1" customWidth="1"/>
    <col min="14" max="14" width="2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655</v>
      </c>
      <c r="F1" t="s">
        <v>4</v>
      </c>
      <c r="G1" t="s">
        <v>5</v>
      </c>
      <c r="H1" t="s">
        <v>6</v>
      </c>
      <c r="I1" t="s">
        <v>7</v>
      </c>
      <c r="J1" t="s">
        <v>562</v>
      </c>
      <c r="K1" t="s">
        <v>616</v>
      </c>
      <c r="L1" t="s">
        <v>564</v>
      </c>
      <c r="M1" s="2" t="s">
        <v>618</v>
      </c>
      <c r="N1" t="s">
        <v>619</v>
      </c>
    </row>
    <row r="2" spans="1:14" x14ac:dyDescent="0.3">
      <c r="A2" t="s">
        <v>8</v>
      </c>
      <c r="B2">
        <v>350</v>
      </c>
      <c r="C2">
        <v>16</v>
      </c>
      <c r="D2" s="1">
        <v>46051.467361111114</v>
      </c>
      <c r="E2" s="8">
        <f>INT(D2)</f>
        <v>46051</v>
      </c>
      <c r="F2">
        <v>2999</v>
      </c>
      <c r="G2" t="s">
        <v>9</v>
      </c>
      <c r="H2" t="s">
        <v>10</v>
      </c>
      <c r="I2">
        <v>85</v>
      </c>
      <c r="J2" t="str">
        <f>_xlfn.IFNA(VLOOKUP(C2,merchants!$A$2:$D$41,2,FALSE),"Merchant not found")</f>
        <v>Merchant_016</v>
      </c>
      <c r="K2" t="str">
        <f>_xlfn.IFNA(VLOOKUP(C2,merchants!$A$2:$D$41,3,FALSE),"Merchant not found")</f>
        <v>bill_payment</v>
      </c>
      <c r="L2" t="str">
        <f>_xlfn.IFNA(VLOOKUP(C2,merchants!$A$2:$D$41,4,FALSE),"Merchant not found")</f>
        <v>West</v>
      </c>
      <c r="M2" s="2">
        <f>HLOOKUP(G2,Fees!$B$1:$E$2,2,FALSE)</f>
        <v>1.4999999999999999E-2</v>
      </c>
      <c r="N2" t="str">
        <f>IF(AND(K2&lt;&gt;"East",GETPIVOTDATA("amount_inr",'Daily Totals'!$A$4,"merchant_name",J2,"Days (transaction_time)",TEXT(D2,"dd-mmm"))&gt;5000),"High-Value Merchant Day", "Normal")</f>
        <v>Normal</v>
      </c>
    </row>
    <row r="3" spans="1:14" x14ac:dyDescent="0.3">
      <c r="A3" t="s">
        <v>11</v>
      </c>
      <c r="B3">
        <v>287</v>
      </c>
      <c r="C3">
        <v>27</v>
      </c>
      <c r="D3" s="1">
        <v>46026.492361111108</v>
      </c>
      <c r="E3" s="8">
        <f t="shared" ref="E3:E66" si="0">INT(D3)</f>
        <v>46026</v>
      </c>
      <c r="F3">
        <v>49</v>
      </c>
      <c r="G3" t="s">
        <v>12</v>
      </c>
      <c r="H3" t="s">
        <v>10</v>
      </c>
      <c r="I3">
        <v>79</v>
      </c>
      <c r="J3" t="str">
        <f>_xlfn.IFNA(VLOOKUP(C3,merchants!$A$2:$D$41,2,FALSE),"Merchant not found")</f>
        <v>Merchant_027</v>
      </c>
      <c r="K3" t="str">
        <f>_xlfn.IFNA(VLOOKUP(C3,merchants!$A$2:$D$41,3,FALSE),"Merchant not found")</f>
        <v>ecommerce</v>
      </c>
      <c r="L3" t="str">
        <f>_xlfn.IFNA(VLOOKUP(C3,merchants!$A$2:$D$41,4,FALSE),"Merchant not found")</f>
        <v>North</v>
      </c>
      <c r="M3" s="2">
        <f>HLOOKUP(G3,Fees!$B$1:$E$2,2,FALSE)</f>
        <v>0</v>
      </c>
      <c r="N3" t="str">
        <f>IF(AND(K3&lt;&gt;"East",GETPIVOTDATA("amount_inr",'Daily Totals'!$A$4,"merchant_name",J3,"Days (transaction_time)",TEXT(D3,"dd-mmm"))&gt;5000),"High-Value Merchant Day", "Normal")</f>
        <v>Normal</v>
      </c>
    </row>
    <row r="4" spans="1:14" x14ac:dyDescent="0.3">
      <c r="A4" t="s">
        <v>13</v>
      </c>
      <c r="B4">
        <v>122</v>
      </c>
      <c r="C4">
        <v>11</v>
      </c>
      <c r="D4" s="1">
        <v>46046.207638888889</v>
      </c>
      <c r="E4" s="8">
        <f t="shared" si="0"/>
        <v>46046</v>
      </c>
      <c r="F4">
        <v>1499</v>
      </c>
      <c r="G4" t="s">
        <v>9</v>
      </c>
      <c r="H4" t="s">
        <v>10</v>
      </c>
      <c r="I4">
        <v>22</v>
      </c>
      <c r="J4" t="str">
        <f>_xlfn.IFNA(VLOOKUP(C4,merchants!$A$2:$D$41,2,FALSE),"Merchant not found")</f>
        <v>Merchant_011</v>
      </c>
      <c r="K4" t="str">
        <f>_xlfn.IFNA(VLOOKUP(C4,merchants!$A$2:$D$41,3,FALSE),"Merchant not found")</f>
        <v>ecommerce</v>
      </c>
      <c r="L4" t="str">
        <f>_xlfn.IFNA(VLOOKUP(C4,merchants!$A$2:$D$41,4,FALSE),"Merchant not found")</f>
        <v>North</v>
      </c>
      <c r="M4" s="2">
        <f>HLOOKUP(G4,Fees!$B$1:$E$2,2,FALSE)</f>
        <v>1.4999999999999999E-2</v>
      </c>
      <c r="N4" t="str">
        <f>IF(AND(K4&lt;&gt;"East",GETPIVOTDATA("amount_inr",'Daily Totals'!$A$4,"merchant_name",J4,"Days (transaction_time)",TEXT(D4,"dd-mmm"))&gt;5000),"High-Value Merchant Day", "Normal")</f>
        <v>Normal</v>
      </c>
    </row>
    <row r="5" spans="1:14" x14ac:dyDescent="0.3">
      <c r="A5" t="s">
        <v>14</v>
      </c>
      <c r="B5">
        <v>92</v>
      </c>
      <c r="C5">
        <v>22</v>
      </c>
      <c r="D5" s="1">
        <v>46051.542361111111</v>
      </c>
      <c r="E5" s="8">
        <f t="shared" si="0"/>
        <v>46051</v>
      </c>
      <c r="F5">
        <v>49</v>
      </c>
      <c r="G5" t="s">
        <v>15</v>
      </c>
      <c r="H5" t="s">
        <v>10</v>
      </c>
      <c r="I5">
        <v>100</v>
      </c>
      <c r="J5" t="str">
        <f>_xlfn.IFNA(VLOOKUP(C5,merchants!$A$2:$D$41,2,FALSE),"Merchant not found")</f>
        <v>Merchant_022</v>
      </c>
      <c r="K5" t="str">
        <f>_xlfn.IFNA(VLOOKUP(C5,merchants!$A$2:$D$41,3,FALSE),"Merchant not found")</f>
        <v>travel</v>
      </c>
      <c r="L5" t="str">
        <f>_xlfn.IFNA(VLOOKUP(C5,merchants!$A$2:$D$41,4,FALSE),"Merchant not found")</f>
        <v>South</v>
      </c>
      <c r="M5" s="2">
        <f>HLOOKUP(G5,Fees!$B$1:$E$2,2,FALSE)</f>
        <v>0.01</v>
      </c>
      <c r="N5" t="str">
        <f>IF(AND(K5&lt;&gt;"East",GETPIVOTDATA("amount_inr",'Daily Totals'!$A$4,"merchant_name",J5,"Days (transaction_time)",TEXT(D5,"dd-mmm"))&gt;5000),"High-Value Merchant Day", "Normal")</f>
        <v>Normal</v>
      </c>
    </row>
    <row r="6" spans="1:14" x14ac:dyDescent="0.3">
      <c r="A6" t="s">
        <v>16</v>
      </c>
      <c r="B6">
        <v>343</v>
      </c>
      <c r="C6">
        <v>16</v>
      </c>
      <c r="D6" s="1">
        <v>46052.57708333333</v>
      </c>
      <c r="E6" s="8">
        <f t="shared" si="0"/>
        <v>46052</v>
      </c>
      <c r="F6">
        <v>99</v>
      </c>
      <c r="G6" t="s">
        <v>12</v>
      </c>
      <c r="H6" t="s">
        <v>10</v>
      </c>
      <c r="I6">
        <v>34</v>
      </c>
      <c r="J6" t="str">
        <f>_xlfn.IFNA(VLOOKUP(C6,merchants!$A$2:$D$41,2,FALSE),"Merchant not found")</f>
        <v>Merchant_016</v>
      </c>
      <c r="K6" t="str">
        <f>_xlfn.IFNA(VLOOKUP(C6,merchants!$A$2:$D$41,3,FALSE),"Merchant not found")</f>
        <v>bill_payment</v>
      </c>
      <c r="L6" t="str">
        <f>_xlfn.IFNA(VLOOKUP(C6,merchants!$A$2:$D$41,4,FALSE),"Merchant not found")</f>
        <v>West</v>
      </c>
      <c r="M6" s="2">
        <f>HLOOKUP(G6,Fees!$B$1:$E$2,2,FALSE)</f>
        <v>0</v>
      </c>
      <c r="N6" t="str">
        <f>IF(AND(K6&lt;&gt;"East",GETPIVOTDATA("amount_inr",'Daily Totals'!$A$4,"merchant_name",J6,"Days (transaction_time)",TEXT(D6,"dd-mmm"))&gt;5000),"High-Value Merchant Day", "Normal")</f>
        <v>Normal</v>
      </c>
    </row>
    <row r="7" spans="1:14" x14ac:dyDescent="0.3">
      <c r="A7" t="s">
        <v>17</v>
      </c>
      <c r="B7">
        <v>196</v>
      </c>
      <c r="C7">
        <v>3</v>
      </c>
      <c r="D7" s="1">
        <v>46028.92083333333</v>
      </c>
      <c r="E7" s="8">
        <f t="shared" si="0"/>
        <v>46028</v>
      </c>
      <c r="F7">
        <v>99</v>
      </c>
      <c r="G7" t="s">
        <v>12</v>
      </c>
      <c r="H7" t="s">
        <v>10</v>
      </c>
      <c r="I7">
        <v>60</v>
      </c>
      <c r="J7" t="str">
        <f>_xlfn.IFNA(VLOOKUP(C7,merchants!$A$2:$D$41,2,FALSE),"Merchant not found")</f>
        <v>Merchant_003</v>
      </c>
      <c r="K7" t="str">
        <f>_xlfn.IFNA(VLOOKUP(C7,merchants!$A$2:$D$41,3,FALSE),"Merchant not found")</f>
        <v>grocery</v>
      </c>
      <c r="L7" t="str">
        <f>_xlfn.IFNA(VLOOKUP(C7,merchants!$A$2:$D$41,4,FALSE),"Merchant not found")</f>
        <v>East</v>
      </c>
      <c r="M7" s="2">
        <f>HLOOKUP(G7,Fees!$B$1:$E$2,2,FALSE)</f>
        <v>0</v>
      </c>
      <c r="N7" t="str">
        <f>IF(AND(K7&lt;&gt;"East",GETPIVOTDATA("amount_inr",'Daily Totals'!$A$4,"merchant_name",J7,"Days (transaction_time)",TEXT(D7,"dd-mmm"))&gt;5000),"High-Value Merchant Day", "Normal")</f>
        <v>Normal</v>
      </c>
    </row>
    <row r="8" spans="1:14" x14ac:dyDescent="0.3">
      <c r="A8" t="s">
        <v>18</v>
      </c>
      <c r="B8">
        <v>236</v>
      </c>
      <c r="C8">
        <v>23</v>
      </c>
      <c r="D8" s="1">
        <v>46030.286111111112</v>
      </c>
      <c r="E8" s="8">
        <f t="shared" si="0"/>
        <v>46030</v>
      </c>
      <c r="F8">
        <v>99</v>
      </c>
      <c r="G8" t="s">
        <v>9</v>
      </c>
      <c r="H8" t="s">
        <v>10</v>
      </c>
      <c r="I8">
        <v>39</v>
      </c>
      <c r="J8" t="str">
        <f>_xlfn.IFNA(VLOOKUP(C8,merchants!$A$2:$D$41,2,FALSE),"Merchant not found")</f>
        <v>Merchant_023</v>
      </c>
      <c r="K8" t="str">
        <f>_xlfn.IFNA(VLOOKUP(C8,merchants!$A$2:$D$41,3,FALSE),"Merchant not found")</f>
        <v>travel</v>
      </c>
      <c r="L8" t="str">
        <f>_xlfn.IFNA(VLOOKUP(C8,merchants!$A$2:$D$41,4,FALSE),"Merchant not found")</f>
        <v>North</v>
      </c>
      <c r="M8" s="2">
        <f>HLOOKUP(G8,Fees!$B$1:$E$2,2,FALSE)</f>
        <v>1.4999999999999999E-2</v>
      </c>
      <c r="N8" t="str">
        <f>IF(AND(K8&lt;&gt;"East",GETPIVOTDATA("amount_inr",'Daily Totals'!$A$4,"merchant_name",J8,"Days (transaction_time)",TEXT(D8,"dd-mmm"))&gt;5000),"High-Value Merchant Day", "Normal")</f>
        <v>Normal</v>
      </c>
    </row>
    <row r="9" spans="1:14" x14ac:dyDescent="0.3">
      <c r="A9" t="s">
        <v>19</v>
      </c>
      <c r="B9">
        <v>13</v>
      </c>
      <c r="C9">
        <v>13</v>
      </c>
      <c r="D9" s="1">
        <v>46049.301388888889</v>
      </c>
      <c r="E9" s="8">
        <f t="shared" si="0"/>
        <v>46049</v>
      </c>
      <c r="F9">
        <v>99</v>
      </c>
      <c r="G9" t="s">
        <v>12</v>
      </c>
      <c r="H9" t="s">
        <v>10</v>
      </c>
      <c r="I9">
        <v>51</v>
      </c>
      <c r="J9" t="str">
        <f>_xlfn.IFNA(VLOOKUP(C9,merchants!$A$2:$D$41,2,FALSE),"Merchant not found")</f>
        <v>Merchant_013</v>
      </c>
      <c r="K9" t="str">
        <f>_xlfn.IFNA(VLOOKUP(C9,merchants!$A$2:$D$41,3,FALSE),"Merchant not found")</f>
        <v>travel</v>
      </c>
      <c r="L9" t="str">
        <f>_xlfn.IFNA(VLOOKUP(C9,merchants!$A$2:$D$41,4,FALSE),"Merchant not found")</f>
        <v>East</v>
      </c>
      <c r="M9" s="2">
        <f>HLOOKUP(G9,Fees!$B$1:$E$2,2,FALSE)</f>
        <v>0</v>
      </c>
      <c r="N9" t="str">
        <f>IF(AND(K9&lt;&gt;"East",GETPIVOTDATA("amount_inr",'Daily Totals'!$A$4,"merchant_name",J9,"Days (transaction_time)",TEXT(D9,"dd-mmm"))&gt;5000),"High-Value Merchant Day", "Normal")</f>
        <v>Normal</v>
      </c>
    </row>
    <row r="10" spans="1:14" x14ac:dyDescent="0.3">
      <c r="A10" t="s">
        <v>20</v>
      </c>
      <c r="B10">
        <v>36</v>
      </c>
      <c r="C10">
        <v>18</v>
      </c>
      <c r="D10" s="1">
        <v>46033.371527777781</v>
      </c>
      <c r="E10" s="8">
        <f t="shared" si="0"/>
        <v>46033</v>
      </c>
      <c r="F10">
        <v>799</v>
      </c>
      <c r="G10" t="s">
        <v>12</v>
      </c>
      <c r="H10" t="s">
        <v>10</v>
      </c>
      <c r="I10">
        <v>44</v>
      </c>
      <c r="J10" t="str">
        <f>_xlfn.IFNA(VLOOKUP(C10,merchants!$A$2:$D$41,2,FALSE),"Merchant not found")</f>
        <v>Merchant_018</v>
      </c>
      <c r="K10" t="str">
        <f>_xlfn.IFNA(VLOOKUP(C10,merchants!$A$2:$D$41,3,FALSE),"Merchant not found")</f>
        <v>grocery</v>
      </c>
      <c r="L10" t="str">
        <f>_xlfn.IFNA(VLOOKUP(C10,merchants!$A$2:$D$41,4,FALSE),"Merchant not found")</f>
        <v>West</v>
      </c>
      <c r="M10" s="2">
        <f>HLOOKUP(G10,Fees!$B$1:$E$2,2,FALSE)</f>
        <v>0</v>
      </c>
      <c r="N10" t="str">
        <f>IF(AND(K10&lt;&gt;"East",GETPIVOTDATA("amount_inr",'Daily Totals'!$A$4,"merchant_name",J10,"Days (transaction_time)",TEXT(D10,"dd-mmm"))&gt;5000),"High-Value Merchant Day", "Normal")</f>
        <v>Normal</v>
      </c>
    </row>
    <row r="11" spans="1:14" x14ac:dyDescent="0.3">
      <c r="A11" t="s">
        <v>21</v>
      </c>
      <c r="B11">
        <v>348</v>
      </c>
      <c r="C11">
        <v>35</v>
      </c>
      <c r="D11" s="1">
        <v>46043.684027777781</v>
      </c>
      <c r="E11" s="8">
        <f t="shared" si="0"/>
        <v>46043</v>
      </c>
      <c r="F11">
        <v>299</v>
      </c>
      <c r="G11" t="s">
        <v>12</v>
      </c>
      <c r="H11" t="s">
        <v>10</v>
      </c>
      <c r="I11">
        <v>42</v>
      </c>
      <c r="J11" t="str">
        <f>_xlfn.IFNA(VLOOKUP(C11,merchants!$A$2:$D$41,2,FALSE),"Merchant not found")</f>
        <v>Merchant_035</v>
      </c>
      <c r="K11" t="str">
        <f>_xlfn.IFNA(VLOOKUP(C11,merchants!$A$2:$D$41,3,FALSE),"Merchant not found")</f>
        <v>recharge</v>
      </c>
      <c r="L11" t="str">
        <f>_xlfn.IFNA(VLOOKUP(C11,merchants!$A$2:$D$41,4,FALSE),"Merchant not found")</f>
        <v>East</v>
      </c>
      <c r="M11" s="2">
        <f>HLOOKUP(G11,Fees!$B$1:$E$2,2,FALSE)</f>
        <v>0</v>
      </c>
      <c r="N11" t="str">
        <f>IF(AND(K11&lt;&gt;"East",GETPIVOTDATA("amount_inr",'Daily Totals'!$A$4,"merchant_name",J11,"Days (transaction_time)",TEXT(D11,"dd-mmm"))&gt;5000),"High-Value Merchant Day", "Normal")</f>
        <v>Normal</v>
      </c>
    </row>
    <row r="12" spans="1:14" x14ac:dyDescent="0.3">
      <c r="A12" t="s">
        <v>22</v>
      </c>
      <c r="B12">
        <v>134</v>
      </c>
      <c r="C12">
        <v>12</v>
      </c>
      <c r="D12" s="1">
        <v>46023.163888888892</v>
      </c>
      <c r="E12" s="8">
        <f t="shared" si="0"/>
        <v>46023</v>
      </c>
      <c r="F12">
        <v>49</v>
      </c>
      <c r="G12" t="s">
        <v>12</v>
      </c>
      <c r="H12" t="s">
        <v>10</v>
      </c>
      <c r="I12">
        <v>74</v>
      </c>
      <c r="J12" t="str">
        <f>_xlfn.IFNA(VLOOKUP(C12,merchants!$A$2:$D$41,2,FALSE),"Merchant not found")</f>
        <v>Merchant_012</v>
      </c>
      <c r="K12" t="str">
        <f>_xlfn.IFNA(VLOOKUP(C12,merchants!$A$2:$D$41,3,FALSE),"Merchant not found")</f>
        <v>ecommerce</v>
      </c>
      <c r="L12" t="str">
        <f>_xlfn.IFNA(VLOOKUP(C12,merchants!$A$2:$D$41,4,FALSE),"Merchant not found")</f>
        <v>East</v>
      </c>
      <c r="M12" s="2">
        <f>HLOOKUP(G12,Fees!$B$1:$E$2,2,FALSE)</f>
        <v>0</v>
      </c>
      <c r="N12" t="str">
        <f>IF(AND(K12&lt;&gt;"East",GETPIVOTDATA("amount_inr",'Daily Totals'!$A$4,"merchant_name",J12,"Days (transaction_time)",TEXT(D12,"dd-mmm"))&gt;5000),"High-Value Merchant Day", "Normal")</f>
        <v>Normal</v>
      </c>
    </row>
    <row r="13" spans="1:14" x14ac:dyDescent="0.3">
      <c r="A13" t="s">
        <v>23</v>
      </c>
      <c r="B13">
        <v>306</v>
      </c>
      <c r="C13">
        <v>28</v>
      </c>
      <c r="D13" s="1">
        <v>46031.04583333333</v>
      </c>
      <c r="E13" s="8">
        <f t="shared" si="0"/>
        <v>46031</v>
      </c>
      <c r="F13">
        <v>2999</v>
      </c>
      <c r="G13" t="s">
        <v>24</v>
      </c>
      <c r="H13" t="s">
        <v>25</v>
      </c>
      <c r="I13">
        <v>44</v>
      </c>
      <c r="J13" t="str">
        <f>_xlfn.IFNA(VLOOKUP(C13,merchants!$A$2:$D$41,2,FALSE),"Merchant not found")</f>
        <v>Merchant_028</v>
      </c>
      <c r="K13" t="str">
        <f>_xlfn.IFNA(VLOOKUP(C13,merchants!$A$2:$D$41,3,FALSE),"Merchant not found")</f>
        <v>ecommerce</v>
      </c>
      <c r="L13" t="str">
        <f>_xlfn.IFNA(VLOOKUP(C13,merchants!$A$2:$D$41,4,FALSE),"Merchant not found")</f>
        <v>South</v>
      </c>
      <c r="M13" s="2">
        <f>HLOOKUP(G13,Fees!$B$1:$E$2,2,FALSE)</f>
        <v>0.02</v>
      </c>
      <c r="N13" t="str">
        <f>IF(AND(K13&lt;&gt;"East",GETPIVOTDATA("amount_inr",'Daily Totals'!$A$4,"merchant_name",J13,"Days (transaction_time)",TEXT(D13,"dd-mmm"))&gt;5000),"High-Value Merchant Day", "Normal")</f>
        <v>Normal</v>
      </c>
    </row>
    <row r="14" spans="1:14" x14ac:dyDescent="0.3">
      <c r="A14" t="s">
        <v>26</v>
      </c>
      <c r="B14">
        <v>311</v>
      </c>
      <c r="C14">
        <v>33</v>
      </c>
      <c r="D14" s="1">
        <v>46046.435416666667</v>
      </c>
      <c r="E14" s="8">
        <f t="shared" si="0"/>
        <v>46046</v>
      </c>
      <c r="F14">
        <v>49</v>
      </c>
      <c r="G14" t="s">
        <v>9</v>
      </c>
      <c r="H14" t="s">
        <v>10</v>
      </c>
      <c r="I14">
        <v>14</v>
      </c>
      <c r="J14" t="str">
        <f>_xlfn.IFNA(VLOOKUP(C14,merchants!$A$2:$D$41,2,FALSE),"Merchant not found")</f>
        <v>Merchant_033</v>
      </c>
      <c r="K14" t="str">
        <f>_xlfn.IFNA(VLOOKUP(C14,merchants!$A$2:$D$41,3,FALSE),"Merchant not found")</f>
        <v>bill_payment</v>
      </c>
      <c r="L14" t="str">
        <f>_xlfn.IFNA(VLOOKUP(C14,merchants!$A$2:$D$41,4,FALSE),"Merchant not found")</f>
        <v>East</v>
      </c>
      <c r="M14" s="2">
        <f>HLOOKUP(G14,Fees!$B$1:$E$2,2,FALSE)</f>
        <v>1.4999999999999999E-2</v>
      </c>
      <c r="N14" t="str">
        <f>IF(AND(K14&lt;&gt;"East",GETPIVOTDATA("amount_inr",'Daily Totals'!$A$4,"merchant_name",J14,"Days (transaction_time)",TEXT(D14,"dd-mmm"))&gt;5000),"High-Value Merchant Day", "Normal")</f>
        <v>Normal</v>
      </c>
    </row>
    <row r="15" spans="1:14" x14ac:dyDescent="0.3">
      <c r="A15" t="s">
        <v>27</v>
      </c>
      <c r="B15">
        <v>131</v>
      </c>
      <c r="C15">
        <v>3</v>
      </c>
      <c r="D15" s="1">
        <v>46035.758333333331</v>
      </c>
      <c r="E15" s="8">
        <f t="shared" si="0"/>
        <v>46035</v>
      </c>
      <c r="F15">
        <v>49</v>
      </c>
      <c r="G15" t="s">
        <v>12</v>
      </c>
      <c r="H15" t="s">
        <v>10</v>
      </c>
      <c r="I15">
        <v>90</v>
      </c>
      <c r="J15" t="str">
        <f>_xlfn.IFNA(VLOOKUP(C15,merchants!$A$2:$D$41,2,FALSE),"Merchant not found")</f>
        <v>Merchant_003</v>
      </c>
      <c r="K15" t="str">
        <f>_xlfn.IFNA(VLOOKUP(C15,merchants!$A$2:$D$41,3,FALSE),"Merchant not found")</f>
        <v>grocery</v>
      </c>
      <c r="L15" t="str">
        <f>_xlfn.IFNA(VLOOKUP(C15,merchants!$A$2:$D$41,4,FALSE),"Merchant not found")</f>
        <v>East</v>
      </c>
      <c r="M15" s="2">
        <f>HLOOKUP(G15,Fees!$B$1:$E$2,2,FALSE)</f>
        <v>0</v>
      </c>
      <c r="N15" t="str">
        <f>IF(AND(K15&lt;&gt;"East",GETPIVOTDATA("amount_inr",'Daily Totals'!$A$4,"merchant_name",J15,"Days (transaction_time)",TEXT(D15,"dd-mmm"))&gt;5000),"High-Value Merchant Day", "Normal")</f>
        <v>Normal</v>
      </c>
    </row>
    <row r="16" spans="1:14" x14ac:dyDescent="0.3">
      <c r="A16" t="s">
        <v>28</v>
      </c>
      <c r="B16">
        <v>276</v>
      </c>
      <c r="C16">
        <v>13</v>
      </c>
      <c r="D16" s="1">
        <v>46036.022916666669</v>
      </c>
      <c r="E16" s="8">
        <f t="shared" si="0"/>
        <v>46036</v>
      </c>
      <c r="F16">
        <v>1499</v>
      </c>
      <c r="G16" t="s">
        <v>12</v>
      </c>
      <c r="H16" t="s">
        <v>10</v>
      </c>
      <c r="I16">
        <v>46</v>
      </c>
      <c r="J16" t="str">
        <f>_xlfn.IFNA(VLOOKUP(C16,merchants!$A$2:$D$41,2,FALSE),"Merchant not found")</f>
        <v>Merchant_013</v>
      </c>
      <c r="K16" t="str">
        <f>_xlfn.IFNA(VLOOKUP(C16,merchants!$A$2:$D$41,3,FALSE),"Merchant not found")</f>
        <v>travel</v>
      </c>
      <c r="L16" t="str">
        <f>_xlfn.IFNA(VLOOKUP(C16,merchants!$A$2:$D$41,4,FALSE),"Merchant not found")</f>
        <v>East</v>
      </c>
      <c r="M16" s="2">
        <f>HLOOKUP(G16,Fees!$B$1:$E$2,2,FALSE)</f>
        <v>0</v>
      </c>
      <c r="N16" t="str">
        <f>IF(AND(K16&lt;&gt;"East",GETPIVOTDATA("amount_inr",'Daily Totals'!$A$4,"merchant_name",J16,"Days (transaction_time)",TEXT(D16,"dd-mmm"))&gt;5000),"High-Value Merchant Day", "Normal")</f>
        <v>Normal</v>
      </c>
    </row>
    <row r="17" spans="1:14" x14ac:dyDescent="0.3">
      <c r="A17" t="s">
        <v>29</v>
      </c>
      <c r="B17">
        <v>170</v>
      </c>
      <c r="C17">
        <v>40</v>
      </c>
      <c r="D17" s="1">
        <v>46036.112500000003</v>
      </c>
      <c r="E17" s="8">
        <f t="shared" si="0"/>
        <v>46036</v>
      </c>
      <c r="F17">
        <v>99</v>
      </c>
      <c r="G17" t="s">
        <v>12</v>
      </c>
      <c r="H17" t="s">
        <v>10</v>
      </c>
      <c r="I17">
        <v>40</v>
      </c>
      <c r="J17" t="str">
        <f>_xlfn.IFNA(VLOOKUP(C17,merchants!$A$2:$D$41,2,FALSE),"Merchant not found")</f>
        <v>Merchant_040</v>
      </c>
      <c r="K17" t="str">
        <f>_xlfn.IFNA(VLOOKUP(C17,merchants!$A$2:$D$41,3,FALSE),"Merchant not found")</f>
        <v>entertainment</v>
      </c>
      <c r="L17" t="str">
        <f>_xlfn.IFNA(VLOOKUP(C17,merchants!$A$2:$D$41,4,FALSE),"Merchant not found")</f>
        <v>South</v>
      </c>
      <c r="M17" s="2">
        <f>HLOOKUP(G17,Fees!$B$1:$E$2,2,FALSE)</f>
        <v>0</v>
      </c>
      <c r="N17" t="str">
        <f>IF(AND(K17&lt;&gt;"East",GETPIVOTDATA("amount_inr",'Daily Totals'!$A$4,"merchant_name",J17,"Days (transaction_time)",TEXT(D17,"dd-mmm"))&gt;5000),"High-Value Merchant Day", "Normal")</f>
        <v>Normal</v>
      </c>
    </row>
    <row r="18" spans="1:14" x14ac:dyDescent="0.3">
      <c r="A18" t="s">
        <v>30</v>
      </c>
      <c r="B18">
        <v>154</v>
      </c>
      <c r="C18">
        <v>33</v>
      </c>
      <c r="D18" s="1">
        <v>46044.156944444447</v>
      </c>
      <c r="E18" s="8">
        <f t="shared" si="0"/>
        <v>46044</v>
      </c>
      <c r="F18">
        <v>99</v>
      </c>
      <c r="G18" t="s">
        <v>15</v>
      </c>
      <c r="H18" t="s">
        <v>10</v>
      </c>
      <c r="I18">
        <v>39</v>
      </c>
      <c r="J18" t="str">
        <f>_xlfn.IFNA(VLOOKUP(C18,merchants!$A$2:$D$41,2,FALSE),"Merchant not found")</f>
        <v>Merchant_033</v>
      </c>
      <c r="K18" t="str">
        <f>_xlfn.IFNA(VLOOKUP(C18,merchants!$A$2:$D$41,3,FALSE),"Merchant not found")</f>
        <v>bill_payment</v>
      </c>
      <c r="L18" t="str">
        <f>_xlfn.IFNA(VLOOKUP(C18,merchants!$A$2:$D$41,4,FALSE),"Merchant not found")</f>
        <v>East</v>
      </c>
      <c r="M18" s="2">
        <f>HLOOKUP(G18,Fees!$B$1:$E$2,2,FALSE)</f>
        <v>0.01</v>
      </c>
      <c r="N18" t="str">
        <f>IF(AND(K18&lt;&gt;"East",GETPIVOTDATA("amount_inr",'Daily Totals'!$A$4,"merchant_name",J18,"Days (transaction_time)",TEXT(D18,"dd-mmm"))&gt;5000),"High-Value Merchant Day", "Normal")</f>
        <v>Normal</v>
      </c>
    </row>
    <row r="19" spans="1:14" x14ac:dyDescent="0.3">
      <c r="A19" t="s">
        <v>31</v>
      </c>
      <c r="B19">
        <v>207</v>
      </c>
      <c r="C19">
        <v>19</v>
      </c>
      <c r="D19" s="1">
        <v>46044.555555555555</v>
      </c>
      <c r="E19" s="8">
        <f t="shared" si="0"/>
        <v>46044</v>
      </c>
      <c r="F19">
        <v>2999</v>
      </c>
      <c r="G19" t="s">
        <v>24</v>
      </c>
      <c r="H19" t="s">
        <v>10</v>
      </c>
      <c r="I19">
        <v>70</v>
      </c>
      <c r="J19" t="str">
        <f>_xlfn.IFNA(VLOOKUP(C19,merchants!$A$2:$D$41,2,FALSE),"Merchant not found")</f>
        <v>Merchant_019</v>
      </c>
      <c r="K19" t="str">
        <f>_xlfn.IFNA(VLOOKUP(C19,merchants!$A$2:$D$41,3,FALSE),"Merchant not found")</f>
        <v>grocery</v>
      </c>
      <c r="L19" t="str">
        <f>_xlfn.IFNA(VLOOKUP(C19,merchants!$A$2:$D$41,4,FALSE),"Merchant not found")</f>
        <v>North</v>
      </c>
      <c r="M19" s="2">
        <f>HLOOKUP(G19,Fees!$B$1:$E$2,2,FALSE)</f>
        <v>0.02</v>
      </c>
      <c r="N19" t="str">
        <f>IF(AND(K19&lt;&gt;"East",GETPIVOTDATA("amount_inr",'Daily Totals'!$A$4,"merchant_name",J19,"Days (transaction_time)",TEXT(D19,"dd-mmm"))&gt;5000),"High-Value Merchant Day", "Normal")</f>
        <v>Normal</v>
      </c>
    </row>
    <row r="20" spans="1:14" x14ac:dyDescent="0.3">
      <c r="A20" t="s">
        <v>32</v>
      </c>
      <c r="B20">
        <v>341</v>
      </c>
      <c r="C20">
        <v>25</v>
      </c>
      <c r="D20" s="1">
        <v>46027.268055555556</v>
      </c>
      <c r="E20" s="8">
        <f t="shared" si="0"/>
        <v>46027</v>
      </c>
      <c r="F20">
        <v>2999</v>
      </c>
      <c r="G20" t="s">
        <v>12</v>
      </c>
      <c r="H20" t="s">
        <v>10</v>
      </c>
      <c r="I20">
        <v>86</v>
      </c>
      <c r="J20" t="str">
        <f>_xlfn.IFNA(VLOOKUP(C20,merchants!$A$2:$D$41,2,FALSE),"Merchant not found")</f>
        <v>Merchant_025</v>
      </c>
      <c r="K20" t="str">
        <f>_xlfn.IFNA(VLOOKUP(C20,merchants!$A$2:$D$41,3,FALSE),"Merchant not found")</f>
        <v>travel</v>
      </c>
      <c r="L20" t="str">
        <f>_xlfn.IFNA(VLOOKUP(C20,merchants!$A$2:$D$41,4,FALSE),"Merchant not found")</f>
        <v>South</v>
      </c>
      <c r="M20" s="2">
        <f>HLOOKUP(G20,Fees!$B$1:$E$2,2,FALSE)</f>
        <v>0</v>
      </c>
      <c r="N20" t="str">
        <f>IF(AND(K20&lt;&gt;"East",GETPIVOTDATA("amount_inr",'Daily Totals'!$A$4,"merchant_name",J20,"Days (transaction_time)",TEXT(D20,"dd-mmm"))&gt;5000),"High-Value Merchant Day", "Normal")</f>
        <v>Normal</v>
      </c>
    </row>
    <row r="21" spans="1:14" x14ac:dyDescent="0.3">
      <c r="A21" t="s">
        <v>33</v>
      </c>
      <c r="B21">
        <v>292</v>
      </c>
      <c r="C21">
        <v>20</v>
      </c>
      <c r="D21" s="1">
        <v>46046.23541666667</v>
      </c>
      <c r="E21" s="8">
        <f t="shared" si="0"/>
        <v>46046</v>
      </c>
      <c r="F21">
        <v>49</v>
      </c>
      <c r="G21" t="s">
        <v>12</v>
      </c>
      <c r="H21" t="s">
        <v>10</v>
      </c>
      <c r="I21">
        <v>51</v>
      </c>
      <c r="J21" t="str">
        <f>_xlfn.IFNA(VLOOKUP(C21,merchants!$A$2:$D$41,2,FALSE),"Merchant not found")</f>
        <v>Merchant_020</v>
      </c>
      <c r="K21" t="str">
        <f>_xlfn.IFNA(VLOOKUP(C21,merchants!$A$2:$D$41,3,FALSE),"Merchant not found")</f>
        <v>food_delivery</v>
      </c>
      <c r="L21" t="str">
        <f>_xlfn.IFNA(VLOOKUP(C21,merchants!$A$2:$D$41,4,FALSE),"Merchant not found")</f>
        <v>East</v>
      </c>
      <c r="M21" s="2">
        <f>HLOOKUP(G21,Fees!$B$1:$E$2,2,FALSE)</f>
        <v>0</v>
      </c>
      <c r="N21" t="str">
        <f>IF(AND(K21&lt;&gt;"East",GETPIVOTDATA("amount_inr",'Daily Totals'!$A$4,"merchant_name",J21,"Days (transaction_time)",TEXT(D21,"dd-mmm"))&gt;5000),"High-Value Merchant Day", "Normal")</f>
        <v>Normal</v>
      </c>
    </row>
    <row r="22" spans="1:14" x14ac:dyDescent="0.3">
      <c r="A22" t="s">
        <v>34</v>
      </c>
      <c r="B22">
        <v>147</v>
      </c>
      <c r="C22">
        <v>14</v>
      </c>
      <c r="D22" s="1">
        <v>46040.013194444444</v>
      </c>
      <c r="E22" s="8">
        <f t="shared" si="0"/>
        <v>46040</v>
      </c>
      <c r="F22">
        <v>99</v>
      </c>
      <c r="G22" t="s">
        <v>24</v>
      </c>
      <c r="H22" t="s">
        <v>10</v>
      </c>
      <c r="I22">
        <v>55</v>
      </c>
      <c r="J22" t="str">
        <f>_xlfn.IFNA(VLOOKUP(C22,merchants!$A$2:$D$41,2,FALSE),"Merchant not found")</f>
        <v>Merchant_014</v>
      </c>
      <c r="K22" t="str">
        <f>_xlfn.IFNA(VLOOKUP(C22,merchants!$A$2:$D$41,3,FALSE),"Merchant not found")</f>
        <v>grocery</v>
      </c>
      <c r="L22" t="str">
        <f>_xlfn.IFNA(VLOOKUP(C22,merchants!$A$2:$D$41,4,FALSE),"Merchant not found")</f>
        <v>East</v>
      </c>
      <c r="M22" s="2">
        <f>HLOOKUP(G22,Fees!$B$1:$E$2,2,FALSE)</f>
        <v>0.02</v>
      </c>
      <c r="N22" t="str">
        <f>IF(AND(K22&lt;&gt;"East",GETPIVOTDATA("amount_inr",'Daily Totals'!$A$4,"merchant_name",J22,"Days (transaction_time)",TEXT(D22,"dd-mmm"))&gt;5000),"High-Value Merchant Day", "Normal")</f>
        <v>Normal</v>
      </c>
    </row>
    <row r="23" spans="1:14" x14ac:dyDescent="0.3">
      <c r="A23" t="s">
        <v>35</v>
      </c>
      <c r="B23">
        <v>336</v>
      </c>
      <c r="C23">
        <v>21</v>
      </c>
      <c r="D23" s="1">
        <v>46048.776388888888</v>
      </c>
      <c r="E23" s="8">
        <f t="shared" si="0"/>
        <v>46048</v>
      </c>
      <c r="F23">
        <v>99</v>
      </c>
      <c r="G23" t="s">
        <v>12</v>
      </c>
      <c r="H23" t="s">
        <v>10</v>
      </c>
      <c r="I23">
        <v>59</v>
      </c>
      <c r="J23" t="str">
        <f>_xlfn.IFNA(VLOOKUP(C23,merchants!$A$2:$D$41,2,FALSE),"Merchant not found")</f>
        <v>Merchant_021</v>
      </c>
      <c r="K23" t="str">
        <f>_xlfn.IFNA(VLOOKUP(C23,merchants!$A$2:$D$41,3,FALSE),"Merchant not found")</f>
        <v>food_delivery</v>
      </c>
      <c r="L23" t="str">
        <f>_xlfn.IFNA(VLOOKUP(C23,merchants!$A$2:$D$41,4,FALSE),"Merchant not found")</f>
        <v>East</v>
      </c>
      <c r="M23" s="2">
        <f>HLOOKUP(G23,Fees!$B$1:$E$2,2,FALSE)</f>
        <v>0</v>
      </c>
      <c r="N23" t="str">
        <f>IF(AND(K23&lt;&gt;"East",GETPIVOTDATA("amount_inr",'Daily Totals'!$A$4,"merchant_name",J23,"Days (transaction_time)",TEXT(D23,"dd-mmm"))&gt;5000),"High-Value Merchant Day", "Normal")</f>
        <v>Normal</v>
      </c>
    </row>
    <row r="24" spans="1:14" x14ac:dyDescent="0.3">
      <c r="A24" t="s">
        <v>36</v>
      </c>
      <c r="B24">
        <v>110</v>
      </c>
      <c r="C24">
        <v>33</v>
      </c>
      <c r="D24" s="1">
        <v>46037.613194444442</v>
      </c>
      <c r="E24" s="8">
        <f t="shared" si="0"/>
        <v>46037</v>
      </c>
      <c r="F24">
        <v>799</v>
      </c>
      <c r="G24" t="s">
        <v>12</v>
      </c>
      <c r="H24" t="s">
        <v>10</v>
      </c>
      <c r="I24">
        <v>60</v>
      </c>
      <c r="J24" t="str">
        <f>_xlfn.IFNA(VLOOKUP(C24,merchants!$A$2:$D$41,2,FALSE),"Merchant not found")</f>
        <v>Merchant_033</v>
      </c>
      <c r="K24" t="str">
        <f>_xlfn.IFNA(VLOOKUP(C24,merchants!$A$2:$D$41,3,FALSE),"Merchant not found")</f>
        <v>bill_payment</v>
      </c>
      <c r="L24" t="str">
        <f>_xlfn.IFNA(VLOOKUP(C24,merchants!$A$2:$D$41,4,FALSE),"Merchant not found")</f>
        <v>East</v>
      </c>
      <c r="M24" s="2">
        <f>HLOOKUP(G24,Fees!$B$1:$E$2,2,FALSE)</f>
        <v>0</v>
      </c>
      <c r="N24" t="str">
        <f>IF(AND(K24&lt;&gt;"East",GETPIVOTDATA("amount_inr",'Daily Totals'!$A$4,"merchant_name",J24,"Days (transaction_time)",TEXT(D24,"dd-mmm"))&gt;5000),"High-Value Merchant Day", "Normal")</f>
        <v>Normal</v>
      </c>
    </row>
    <row r="25" spans="1:14" x14ac:dyDescent="0.3">
      <c r="A25" t="s">
        <v>37</v>
      </c>
      <c r="B25">
        <v>338</v>
      </c>
      <c r="C25">
        <v>6</v>
      </c>
      <c r="D25" s="1">
        <v>46048.965277777781</v>
      </c>
      <c r="E25" s="8">
        <f t="shared" si="0"/>
        <v>46048</v>
      </c>
      <c r="F25">
        <v>799</v>
      </c>
      <c r="G25" t="s">
        <v>12</v>
      </c>
      <c r="H25" t="s">
        <v>38</v>
      </c>
      <c r="I25">
        <v>36</v>
      </c>
      <c r="J25" t="str">
        <f>_xlfn.IFNA(VLOOKUP(C25,merchants!$A$2:$D$41,2,FALSE),"Merchant not found")</f>
        <v>Merchant_006</v>
      </c>
      <c r="K25" t="str">
        <f>_xlfn.IFNA(VLOOKUP(C25,merchants!$A$2:$D$41,3,FALSE),"Merchant not found")</f>
        <v>food_delivery</v>
      </c>
      <c r="L25" t="str">
        <f>_xlfn.IFNA(VLOOKUP(C25,merchants!$A$2:$D$41,4,FALSE),"Merchant not found")</f>
        <v>South</v>
      </c>
      <c r="M25" s="2">
        <f>HLOOKUP(G25,Fees!$B$1:$E$2,2,FALSE)</f>
        <v>0</v>
      </c>
      <c r="N25" t="str">
        <f>IF(AND(K25&lt;&gt;"East",GETPIVOTDATA("amount_inr",'Daily Totals'!$A$4,"merchant_name",J25,"Days (transaction_time)",TEXT(D25,"dd-mmm"))&gt;5000),"High-Value Merchant Day", "Normal")</f>
        <v>Normal</v>
      </c>
    </row>
    <row r="26" spans="1:14" x14ac:dyDescent="0.3">
      <c r="A26" t="s">
        <v>39</v>
      </c>
      <c r="B26">
        <v>318</v>
      </c>
      <c r="C26">
        <v>22</v>
      </c>
      <c r="D26" s="1">
        <v>46039.902777777781</v>
      </c>
      <c r="E26" s="8">
        <f t="shared" si="0"/>
        <v>46039</v>
      </c>
      <c r="F26">
        <v>799</v>
      </c>
      <c r="G26" t="s">
        <v>9</v>
      </c>
      <c r="H26" t="s">
        <v>10</v>
      </c>
      <c r="I26">
        <v>11</v>
      </c>
      <c r="J26" t="str">
        <f>_xlfn.IFNA(VLOOKUP(C26,merchants!$A$2:$D$41,2,FALSE),"Merchant not found")</f>
        <v>Merchant_022</v>
      </c>
      <c r="K26" t="str">
        <f>_xlfn.IFNA(VLOOKUP(C26,merchants!$A$2:$D$41,3,FALSE),"Merchant not found")</f>
        <v>travel</v>
      </c>
      <c r="L26" t="str">
        <f>_xlfn.IFNA(VLOOKUP(C26,merchants!$A$2:$D$41,4,FALSE),"Merchant not found")</f>
        <v>South</v>
      </c>
      <c r="M26" s="2">
        <f>HLOOKUP(G26,Fees!$B$1:$E$2,2,FALSE)</f>
        <v>1.4999999999999999E-2</v>
      </c>
      <c r="N26" t="str">
        <f>IF(AND(K26&lt;&gt;"East",GETPIVOTDATA("amount_inr",'Daily Totals'!$A$4,"merchant_name",J26,"Days (transaction_time)",TEXT(D26,"dd-mmm"))&gt;5000),"High-Value Merchant Day", "Normal")</f>
        <v>Normal</v>
      </c>
    </row>
    <row r="27" spans="1:14" x14ac:dyDescent="0.3">
      <c r="A27" t="s">
        <v>40</v>
      </c>
      <c r="B27">
        <v>159</v>
      </c>
      <c r="C27">
        <v>15</v>
      </c>
      <c r="D27" s="1">
        <v>46049.321527777778</v>
      </c>
      <c r="E27" s="8">
        <f t="shared" si="0"/>
        <v>46049</v>
      </c>
      <c r="F27">
        <v>799</v>
      </c>
      <c r="G27" t="s">
        <v>12</v>
      </c>
      <c r="H27" t="s">
        <v>10</v>
      </c>
      <c r="I27">
        <v>25</v>
      </c>
      <c r="J27" t="str">
        <f>_xlfn.IFNA(VLOOKUP(C27,merchants!$A$2:$D$41,2,FALSE),"Merchant not found")</f>
        <v>Merchant_015</v>
      </c>
      <c r="K27" t="str">
        <f>_xlfn.IFNA(VLOOKUP(C27,merchants!$A$2:$D$41,3,FALSE),"Merchant not found")</f>
        <v>travel</v>
      </c>
      <c r="L27" t="str">
        <f>_xlfn.IFNA(VLOOKUP(C27,merchants!$A$2:$D$41,4,FALSE),"Merchant not found")</f>
        <v>North</v>
      </c>
      <c r="M27" s="2">
        <f>HLOOKUP(G27,Fees!$B$1:$E$2,2,FALSE)</f>
        <v>0</v>
      </c>
      <c r="N27" t="str">
        <f>IF(AND(K27&lt;&gt;"East",GETPIVOTDATA("amount_inr",'Daily Totals'!$A$4,"merchant_name",J27,"Days (transaction_time)",TEXT(D27,"dd-mmm"))&gt;5000),"High-Value Merchant Day", "Normal")</f>
        <v>Normal</v>
      </c>
    </row>
    <row r="28" spans="1:14" x14ac:dyDescent="0.3">
      <c r="A28" t="s">
        <v>41</v>
      </c>
      <c r="B28">
        <v>126</v>
      </c>
      <c r="C28">
        <v>31</v>
      </c>
      <c r="D28" s="1">
        <v>46027.001388888886</v>
      </c>
      <c r="E28" s="8">
        <f t="shared" si="0"/>
        <v>46027</v>
      </c>
      <c r="F28">
        <v>49</v>
      </c>
      <c r="G28" t="s">
        <v>24</v>
      </c>
      <c r="H28" t="s">
        <v>10</v>
      </c>
      <c r="I28">
        <v>78</v>
      </c>
      <c r="J28" t="str">
        <f>_xlfn.IFNA(VLOOKUP(C28,merchants!$A$2:$D$41,2,FALSE),"Merchant not found")</f>
        <v>Merchant_031</v>
      </c>
      <c r="K28" t="str">
        <f>_xlfn.IFNA(VLOOKUP(C28,merchants!$A$2:$D$41,3,FALSE),"Merchant not found")</f>
        <v>bill_payment</v>
      </c>
      <c r="L28" t="str">
        <f>_xlfn.IFNA(VLOOKUP(C28,merchants!$A$2:$D$41,4,FALSE),"Merchant not found")</f>
        <v>East</v>
      </c>
      <c r="M28" s="2">
        <f>HLOOKUP(G28,Fees!$B$1:$E$2,2,FALSE)</f>
        <v>0.02</v>
      </c>
      <c r="N28" t="str">
        <f>IF(AND(K28&lt;&gt;"East",GETPIVOTDATA("amount_inr",'Daily Totals'!$A$4,"merchant_name",J28,"Days (transaction_time)",TEXT(D28,"dd-mmm"))&gt;5000),"High-Value Merchant Day", "Normal")</f>
        <v>Normal</v>
      </c>
    </row>
    <row r="29" spans="1:14" x14ac:dyDescent="0.3">
      <c r="A29" t="s">
        <v>42</v>
      </c>
      <c r="B29">
        <v>213</v>
      </c>
      <c r="C29">
        <v>37</v>
      </c>
      <c r="D29" s="1">
        <v>46050.103472222225</v>
      </c>
      <c r="E29" s="8">
        <f t="shared" si="0"/>
        <v>46050</v>
      </c>
      <c r="F29">
        <v>99</v>
      </c>
      <c r="G29" t="s">
        <v>12</v>
      </c>
      <c r="H29" t="s">
        <v>10</v>
      </c>
      <c r="I29">
        <v>24</v>
      </c>
      <c r="J29" t="str">
        <f>_xlfn.IFNA(VLOOKUP(C29,merchants!$A$2:$D$41,2,FALSE),"Merchant not found")</f>
        <v>Merchant_037</v>
      </c>
      <c r="K29" t="str">
        <f>_xlfn.IFNA(VLOOKUP(C29,merchants!$A$2:$D$41,3,FALSE),"Merchant not found")</f>
        <v>entertainment</v>
      </c>
      <c r="L29" t="str">
        <f>_xlfn.IFNA(VLOOKUP(C29,merchants!$A$2:$D$41,4,FALSE),"Merchant not found")</f>
        <v>South</v>
      </c>
      <c r="M29" s="2">
        <f>HLOOKUP(G29,Fees!$B$1:$E$2,2,FALSE)</f>
        <v>0</v>
      </c>
      <c r="N29" t="str">
        <f>IF(AND(K29&lt;&gt;"East",GETPIVOTDATA("amount_inr",'Daily Totals'!$A$4,"merchant_name",J29,"Days (transaction_time)",TEXT(D29,"dd-mmm"))&gt;5000),"High-Value Merchant Day", "Normal")</f>
        <v>Normal</v>
      </c>
    </row>
    <row r="30" spans="1:14" x14ac:dyDescent="0.3">
      <c r="A30" t="s">
        <v>43</v>
      </c>
      <c r="B30">
        <v>254</v>
      </c>
      <c r="C30">
        <v>26</v>
      </c>
      <c r="D30" s="1">
        <v>46045.933333333334</v>
      </c>
      <c r="E30" s="8">
        <f t="shared" si="0"/>
        <v>46045</v>
      </c>
      <c r="F30">
        <v>99</v>
      </c>
      <c r="G30" t="s">
        <v>9</v>
      </c>
      <c r="H30" t="s">
        <v>10</v>
      </c>
      <c r="I30">
        <v>31</v>
      </c>
      <c r="J30" t="str">
        <f>_xlfn.IFNA(VLOOKUP(C30,merchants!$A$2:$D$41,2,FALSE),"Merchant not found")</f>
        <v>Merchant_026</v>
      </c>
      <c r="K30" t="str">
        <f>_xlfn.IFNA(VLOOKUP(C30,merchants!$A$2:$D$41,3,FALSE),"Merchant not found")</f>
        <v>food_delivery</v>
      </c>
      <c r="L30" t="str">
        <f>_xlfn.IFNA(VLOOKUP(C30,merchants!$A$2:$D$41,4,FALSE),"Merchant not found")</f>
        <v>East</v>
      </c>
      <c r="M30" s="2">
        <f>HLOOKUP(G30,Fees!$B$1:$E$2,2,FALSE)</f>
        <v>1.4999999999999999E-2</v>
      </c>
      <c r="N30" t="str">
        <f>IF(AND(K30&lt;&gt;"East",GETPIVOTDATA("amount_inr",'Daily Totals'!$A$4,"merchant_name",J30,"Days (transaction_time)",TEXT(D30,"dd-mmm"))&gt;5000),"High-Value Merchant Day", "Normal")</f>
        <v>Normal</v>
      </c>
    </row>
    <row r="31" spans="1:14" x14ac:dyDescent="0.3">
      <c r="A31" t="s">
        <v>44</v>
      </c>
      <c r="B31">
        <v>3</v>
      </c>
      <c r="C31">
        <v>7</v>
      </c>
      <c r="D31" s="1">
        <v>46027.863888888889</v>
      </c>
      <c r="E31" s="8">
        <f t="shared" si="0"/>
        <v>46027</v>
      </c>
      <c r="F31">
        <v>1499</v>
      </c>
      <c r="G31" t="s">
        <v>12</v>
      </c>
      <c r="H31" t="s">
        <v>10</v>
      </c>
      <c r="I31">
        <v>99</v>
      </c>
      <c r="J31" t="str">
        <f>_xlfn.IFNA(VLOOKUP(C31,merchants!$A$2:$D$41,2,FALSE),"Merchant not found")</f>
        <v>Merchant_007</v>
      </c>
      <c r="K31" t="str">
        <f>_xlfn.IFNA(VLOOKUP(C31,merchants!$A$2:$D$41,3,FALSE),"Merchant not found")</f>
        <v>food_delivery</v>
      </c>
      <c r="L31" t="str">
        <f>_xlfn.IFNA(VLOOKUP(C31,merchants!$A$2:$D$41,4,FALSE),"Merchant not found")</f>
        <v>East</v>
      </c>
      <c r="M31" s="2">
        <f>HLOOKUP(G31,Fees!$B$1:$E$2,2,FALSE)</f>
        <v>0</v>
      </c>
      <c r="N31" t="str">
        <f>IF(AND(K31&lt;&gt;"East",GETPIVOTDATA("amount_inr",'Daily Totals'!$A$4,"merchant_name",J31,"Days (transaction_time)",TEXT(D31,"dd-mmm"))&gt;5000),"High-Value Merchant Day", "Normal")</f>
        <v>Normal</v>
      </c>
    </row>
    <row r="32" spans="1:14" x14ac:dyDescent="0.3">
      <c r="A32" t="s">
        <v>45</v>
      </c>
      <c r="B32">
        <v>266</v>
      </c>
      <c r="C32">
        <v>30</v>
      </c>
      <c r="D32" s="1">
        <v>46036.299305555556</v>
      </c>
      <c r="E32" s="8">
        <f t="shared" si="0"/>
        <v>46036</v>
      </c>
      <c r="F32">
        <v>499</v>
      </c>
      <c r="G32" t="s">
        <v>24</v>
      </c>
      <c r="H32" t="s">
        <v>10</v>
      </c>
      <c r="I32">
        <v>6</v>
      </c>
      <c r="J32" t="str">
        <f>_xlfn.IFNA(VLOOKUP(C32,merchants!$A$2:$D$41,2,FALSE),"Merchant not found")</f>
        <v>Merchant_030</v>
      </c>
      <c r="K32" t="str">
        <f>_xlfn.IFNA(VLOOKUP(C32,merchants!$A$2:$D$41,3,FALSE),"Merchant not found")</f>
        <v>travel</v>
      </c>
      <c r="L32" t="str">
        <f>_xlfn.IFNA(VLOOKUP(C32,merchants!$A$2:$D$41,4,FALSE),"Merchant not found")</f>
        <v>West</v>
      </c>
      <c r="M32" s="2">
        <f>HLOOKUP(G32,Fees!$B$1:$E$2,2,FALSE)</f>
        <v>0.02</v>
      </c>
      <c r="N32" t="str">
        <f>IF(AND(K32&lt;&gt;"East",GETPIVOTDATA("amount_inr",'Daily Totals'!$A$4,"merchant_name",J32,"Days (transaction_time)",TEXT(D32,"dd-mmm"))&gt;5000),"High-Value Merchant Day", "Normal")</f>
        <v>Normal</v>
      </c>
    </row>
    <row r="33" spans="1:14" x14ac:dyDescent="0.3">
      <c r="A33" t="s">
        <v>46</v>
      </c>
      <c r="B33">
        <v>63</v>
      </c>
      <c r="C33">
        <v>30</v>
      </c>
      <c r="D33" s="1">
        <v>46040.331944444442</v>
      </c>
      <c r="E33" s="8">
        <f t="shared" si="0"/>
        <v>46040</v>
      </c>
      <c r="F33">
        <v>799</v>
      </c>
      <c r="G33" t="s">
        <v>12</v>
      </c>
      <c r="H33" t="s">
        <v>10</v>
      </c>
      <c r="I33">
        <v>17</v>
      </c>
      <c r="J33" t="str">
        <f>_xlfn.IFNA(VLOOKUP(C33,merchants!$A$2:$D$41,2,FALSE),"Merchant not found")</f>
        <v>Merchant_030</v>
      </c>
      <c r="K33" t="str">
        <f>_xlfn.IFNA(VLOOKUP(C33,merchants!$A$2:$D$41,3,FALSE),"Merchant not found")</f>
        <v>travel</v>
      </c>
      <c r="L33" t="str">
        <f>_xlfn.IFNA(VLOOKUP(C33,merchants!$A$2:$D$41,4,FALSE),"Merchant not found")</f>
        <v>West</v>
      </c>
      <c r="M33" s="2">
        <f>HLOOKUP(G33,Fees!$B$1:$E$2,2,FALSE)</f>
        <v>0</v>
      </c>
      <c r="N33" t="str">
        <f>IF(AND(K33&lt;&gt;"East",GETPIVOTDATA("amount_inr",'Daily Totals'!$A$4,"merchant_name",J33,"Days (transaction_time)",TEXT(D33,"dd-mmm"))&gt;5000),"High-Value Merchant Day", "Normal")</f>
        <v>Normal</v>
      </c>
    </row>
    <row r="34" spans="1:14" x14ac:dyDescent="0.3">
      <c r="A34" t="s">
        <v>47</v>
      </c>
      <c r="B34">
        <v>272</v>
      </c>
      <c r="C34">
        <v>36</v>
      </c>
      <c r="D34" s="1">
        <v>46048.612500000003</v>
      </c>
      <c r="E34" s="8">
        <f t="shared" si="0"/>
        <v>46048</v>
      </c>
      <c r="F34">
        <v>149</v>
      </c>
      <c r="G34" t="s">
        <v>12</v>
      </c>
      <c r="H34" t="s">
        <v>10</v>
      </c>
      <c r="I34">
        <v>76</v>
      </c>
      <c r="J34" t="str">
        <f>_xlfn.IFNA(VLOOKUP(C34,merchants!$A$2:$D$41,2,FALSE),"Merchant not found")</f>
        <v>Merchant_036</v>
      </c>
      <c r="K34" t="str">
        <f>_xlfn.IFNA(VLOOKUP(C34,merchants!$A$2:$D$41,3,FALSE),"Merchant not found")</f>
        <v>entertainment</v>
      </c>
      <c r="L34" t="str">
        <f>_xlfn.IFNA(VLOOKUP(C34,merchants!$A$2:$D$41,4,FALSE),"Merchant not found")</f>
        <v>East</v>
      </c>
      <c r="M34" s="2">
        <f>HLOOKUP(G34,Fees!$B$1:$E$2,2,FALSE)</f>
        <v>0</v>
      </c>
      <c r="N34" t="str">
        <f>IF(AND(K34&lt;&gt;"East",GETPIVOTDATA("amount_inr",'Daily Totals'!$A$4,"merchant_name",J34,"Days (transaction_time)",TEXT(D34,"dd-mmm"))&gt;5000),"High-Value Merchant Day", "Normal")</f>
        <v>Normal</v>
      </c>
    </row>
    <row r="35" spans="1:14" x14ac:dyDescent="0.3">
      <c r="A35" t="s">
        <v>48</v>
      </c>
      <c r="B35">
        <v>259</v>
      </c>
      <c r="C35">
        <v>28</v>
      </c>
      <c r="D35" s="1">
        <v>46033.61041666667</v>
      </c>
      <c r="E35" s="8">
        <f t="shared" si="0"/>
        <v>46033</v>
      </c>
      <c r="F35">
        <v>49</v>
      </c>
      <c r="G35" t="s">
        <v>9</v>
      </c>
      <c r="H35" t="s">
        <v>10</v>
      </c>
      <c r="I35">
        <v>70</v>
      </c>
      <c r="J35" t="str">
        <f>_xlfn.IFNA(VLOOKUP(C35,merchants!$A$2:$D$41,2,FALSE),"Merchant not found")</f>
        <v>Merchant_028</v>
      </c>
      <c r="K35" t="str">
        <f>_xlfn.IFNA(VLOOKUP(C35,merchants!$A$2:$D$41,3,FALSE),"Merchant not found")</f>
        <v>ecommerce</v>
      </c>
      <c r="L35" t="str">
        <f>_xlfn.IFNA(VLOOKUP(C35,merchants!$A$2:$D$41,4,FALSE),"Merchant not found")</f>
        <v>South</v>
      </c>
      <c r="M35" s="2">
        <f>HLOOKUP(G35,Fees!$B$1:$E$2,2,FALSE)</f>
        <v>1.4999999999999999E-2</v>
      </c>
      <c r="N35" t="str">
        <f>IF(AND(K35&lt;&gt;"East",GETPIVOTDATA("amount_inr",'Daily Totals'!$A$4,"merchant_name",J35,"Days (transaction_time)",TEXT(D35,"dd-mmm"))&gt;5000),"High-Value Merchant Day", "Normal")</f>
        <v>Normal</v>
      </c>
    </row>
    <row r="36" spans="1:14" x14ac:dyDescent="0.3">
      <c r="A36" t="s">
        <v>49</v>
      </c>
      <c r="B36">
        <v>244</v>
      </c>
      <c r="C36">
        <v>29</v>
      </c>
      <c r="D36" s="1">
        <v>46037.240972222222</v>
      </c>
      <c r="E36" s="8">
        <f t="shared" si="0"/>
        <v>46037</v>
      </c>
      <c r="F36">
        <v>299</v>
      </c>
      <c r="G36" t="s">
        <v>15</v>
      </c>
      <c r="H36" t="s">
        <v>10</v>
      </c>
      <c r="I36">
        <v>33</v>
      </c>
      <c r="J36" t="str">
        <f>_xlfn.IFNA(VLOOKUP(C36,merchants!$A$2:$D$41,2,FALSE),"Merchant not found")</f>
        <v>Merchant_029</v>
      </c>
      <c r="K36" t="str">
        <f>_xlfn.IFNA(VLOOKUP(C36,merchants!$A$2:$D$41,3,FALSE),"Merchant not found")</f>
        <v>ecommerce</v>
      </c>
      <c r="L36" t="str">
        <f>_xlfn.IFNA(VLOOKUP(C36,merchants!$A$2:$D$41,4,FALSE),"Merchant not found")</f>
        <v>North</v>
      </c>
      <c r="M36" s="2">
        <f>HLOOKUP(G36,Fees!$B$1:$E$2,2,FALSE)</f>
        <v>0.01</v>
      </c>
      <c r="N36" t="str">
        <f>IF(AND(K36&lt;&gt;"East",GETPIVOTDATA("amount_inr",'Daily Totals'!$A$4,"merchant_name",J36,"Days (transaction_time)",TEXT(D36,"dd-mmm"))&gt;5000),"High-Value Merchant Day", "Normal")</f>
        <v>Normal</v>
      </c>
    </row>
    <row r="37" spans="1:14" x14ac:dyDescent="0.3">
      <c r="A37" t="s">
        <v>50</v>
      </c>
      <c r="B37">
        <v>327</v>
      </c>
      <c r="C37">
        <v>18</v>
      </c>
      <c r="D37" s="1">
        <v>46047.328472222223</v>
      </c>
      <c r="E37" s="8">
        <f t="shared" si="0"/>
        <v>46047</v>
      </c>
      <c r="F37">
        <v>149</v>
      </c>
      <c r="G37" t="s">
        <v>24</v>
      </c>
      <c r="H37" t="s">
        <v>10</v>
      </c>
      <c r="I37">
        <v>98</v>
      </c>
      <c r="J37" t="str">
        <f>_xlfn.IFNA(VLOOKUP(C37,merchants!$A$2:$D$41,2,FALSE),"Merchant not found")</f>
        <v>Merchant_018</v>
      </c>
      <c r="K37" t="str">
        <f>_xlfn.IFNA(VLOOKUP(C37,merchants!$A$2:$D$41,3,FALSE),"Merchant not found")</f>
        <v>grocery</v>
      </c>
      <c r="L37" t="str">
        <f>_xlfn.IFNA(VLOOKUP(C37,merchants!$A$2:$D$41,4,FALSE),"Merchant not found")</f>
        <v>West</v>
      </c>
      <c r="M37" s="2">
        <f>HLOOKUP(G37,Fees!$B$1:$E$2,2,FALSE)</f>
        <v>0.02</v>
      </c>
      <c r="N37" t="str">
        <f>IF(AND(K37&lt;&gt;"East",GETPIVOTDATA("amount_inr",'Daily Totals'!$A$4,"merchant_name",J37,"Days (transaction_time)",TEXT(D37,"dd-mmm"))&gt;5000),"High-Value Merchant Day", "Normal")</f>
        <v>Normal</v>
      </c>
    </row>
    <row r="38" spans="1:14" x14ac:dyDescent="0.3">
      <c r="A38" t="s">
        <v>51</v>
      </c>
      <c r="B38">
        <v>321</v>
      </c>
      <c r="C38">
        <v>16</v>
      </c>
      <c r="D38" s="1">
        <v>46047.688194444447</v>
      </c>
      <c r="E38" s="8">
        <f t="shared" si="0"/>
        <v>46047</v>
      </c>
      <c r="F38">
        <v>49</v>
      </c>
      <c r="G38" t="s">
        <v>12</v>
      </c>
      <c r="H38" t="s">
        <v>10</v>
      </c>
      <c r="I38">
        <v>35</v>
      </c>
      <c r="J38" t="str">
        <f>_xlfn.IFNA(VLOOKUP(C38,merchants!$A$2:$D$41,2,FALSE),"Merchant not found")</f>
        <v>Merchant_016</v>
      </c>
      <c r="K38" t="str">
        <f>_xlfn.IFNA(VLOOKUP(C38,merchants!$A$2:$D$41,3,FALSE),"Merchant not found")</f>
        <v>bill_payment</v>
      </c>
      <c r="L38" t="str">
        <f>_xlfn.IFNA(VLOOKUP(C38,merchants!$A$2:$D$41,4,FALSE),"Merchant not found")</f>
        <v>West</v>
      </c>
      <c r="M38" s="2">
        <f>HLOOKUP(G38,Fees!$B$1:$E$2,2,FALSE)</f>
        <v>0</v>
      </c>
      <c r="N38" t="str">
        <f>IF(AND(K38&lt;&gt;"East",GETPIVOTDATA("amount_inr",'Daily Totals'!$A$4,"merchant_name",J38,"Days (transaction_time)",TEXT(D38,"dd-mmm"))&gt;5000),"High-Value Merchant Day", "Normal")</f>
        <v>Normal</v>
      </c>
    </row>
    <row r="39" spans="1:14" x14ac:dyDescent="0.3">
      <c r="A39" t="s">
        <v>52</v>
      </c>
      <c r="B39">
        <v>147</v>
      </c>
      <c r="C39">
        <v>16</v>
      </c>
      <c r="D39" s="1">
        <v>46037.114583333336</v>
      </c>
      <c r="E39" s="8">
        <f t="shared" si="0"/>
        <v>46037</v>
      </c>
      <c r="F39">
        <v>2999</v>
      </c>
      <c r="G39" t="s">
        <v>24</v>
      </c>
      <c r="H39" t="s">
        <v>10</v>
      </c>
      <c r="I39">
        <v>34</v>
      </c>
      <c r="J39" t="str">
        <f>_xlfn.IFNA(VLOOKUP(C39,merchants!$A$2:$D$41,2,FALSE),"Merchant not found")</f>
        <v>Merchant_016</v>
      </c>
      <c r="K39" t="str">
        <f>_xlfn.IFNA(VLOOKUP(C39,merchants!$A$2:$D$41,3,FALSE),"Merchant not found")</f>
        <v>bill_payment</v>
      </c>
      <c r="L39" t="str">
        <f>_xlfn.IFNA(VLOOKUP(C39,merchants!$A$2:$D$41,4,FALSE),"Merchant not found")</f>
        <v>West</v>
      </c>
      <c r="M39" s="2">
        <f>HLOOKUP(G39,Fees!$B$1:$E$2,2,FALSE)</f>
        <v>0.02</v>
      </c>
      <c r="N39" t="str">
        <f>IF(AND(K39&lt;&gt;"East",GETPIVOTDATA("amount_inr",'Daily Totals'!$A$4,"merchant_name",J39,"Days (transaction_time)",TEXT(D39,"dd-mmm"))&gt;5000),"High-Value Merchant Day", "Normal")</f>
        <v>Normal</v>
      </c>
    </row>
    <row r="40" spans="1:14" x14ac:dyDescent="0.3">
      <c r="A40" t="s">
        <v>53</v>
      </c>
      <c r="B40">
        <v>277</v>
      </c>
      <c r="C40">
        <v>6</v>
      </c>
      <c r="D40" s="1">
        <v>46033.456250000003</v>
      </c>
      <c r="E40" s="8">
        <f t="shared" si="0"/>
        <v>46033</v>
      </c>
      <c r="F40">
        <v>1499</v>
      </c>
      <c r="G40" t="s">
        <v>24</v>
      </c>
      <c r="H40" t="s">
        <v>10</v>
      </c>
      <c r="I40">
        <v>17</v>
      </c>
      <c r="J40" t="str">
        <f>_xlfn.IFNA(VLOOKUP(C40,merchants!$A$2:$D$41,2,FALSE),"Merchant not found")</f>
        <v>Merchant_006</v>
      </c>
      <c r="K40" t="str">
        <f>_xlfn.IFNA(VLOOKUP(C40,merchants!$A$2:$D$41,3,FALSE),"Merchant not found")</f>
        <v>food_delivery</v>
      </c>
      <c r="L40" t="str">
        <f>_xlfn.IFNA(VLOOKUP(C40,merchants!$A$2:$D$41,4,FALSE),"Merchant not found")</f>
        <v>South</v>
      </c>
      <c r="M40" s="2">
        <f>HLOOKUP(G40,Fees!$B$1:$E$2,2,FALSE)</f>
        <v>0.02</v>
      </c>
      <c r="N40" t="str">
        <f>IF(AND(K40&lt;&gt;"East",GETPIVOTDATA("amount_inr",'Daily Totals'!$A$4,"merchant_name",J40,"Days (transaction_time)",TEXT(D40,"dd-mmm"))&gt;5000),"High-Value Merchant Day", "Normal")</f>
        <v>Normal</v>
      </c>
    </row>
    <row r="41" spans="1:14" x14ac:dyDescent="0.3">
      <c r="A41" t="s">
        <v>54</v>
      </c>
      <c r="B41">
        <v>79</v>
      </c>
      <c r="C41">
        <v>14</v>
      </c>
      <c r="D41" s="1">
        <v>46027.308333333334</v>
      </c>
      <c r="E41" s="8">
        <f t="shared" si="0"/>
        <v>46027</v>
      </c>
      <c r="F41">
        <v>1499</v>
      </c>
      <c r="G41" t="s">
        <v>12</v>
      </c>
      <c r="H41" t="s">
        <v>10</v>
      </c>
      <c r="I41">
        <v>8</v>
      </c>
      <c r="J41" t="str">
        <f>_xlfn.IFNA(VLOOKUP(C41,merchants!$A$2:$D$41,2,FALSE),"Merchant not found")</f>
        <v>Merchant_014</v>
      </c>
      <c r="K41" t="str">
        <f>_xlfn.IFNA(VLOOKUP(C41,merchants!$A$2:$D$41,3,FALSE),"Merchant not found")</f>
        <v>grocery</v>
      </c>
      <c r="L41" t="str">
        <f>_xlfn.IFNA(VLOOKUP(C41,merchants!$A$2:$D$41,4,FALSE),"Merchant not found")</f>
        <v>East</v>
      </c>
      <c r="M41" s="2">
        <f>HLOOKUP(G41,Fees!$B$1:$E$2,2,FALSE)</f>
        <v>0</v>
      </c>
      <c r="N41" t="str">
        <f>IF(AND(K41&lt;&gt;"East",GETPIVOTDATA("amount_inr",'Daily Totals'!$A$4,"merchant_name",J41,"Days (transaction_time)",TEXT(D41,"dd-mmm"))&gt;5000),"High-Value Merchant Day", "Normal")</f>
        <v>Normal</v>
      </c>
    </row>
    <row r="42" spans="1:14" x14ac:dyDescent="0.3">
      <c r="A42" t="s">
        <v>55</v>
      </c>
      <c r="B42">
        <v>278</v>
      </c>
      <c r="C42">
        <v>30</v>
      </c>
      <c r="D42" s="1">
        <v>46036.556250000001</v>
      </c>
      <c r="E42" s="8">
        <f t="shared" si="0"/>
        <v>46036</v>
      </c>
      <c r="F42">
        <v>1499</v>
      </c>
      <c r="G42" t="s">
        <v>12</v>
      </c>
      <c r="H42" t="s">
        <v>10</v>
      </c>
      <c r="I42">
        <v>53</v>
      </c>
      <c r="J42" t="str">
        <f>_xlfn.IFNA(VLOOKUP(C42,merchants!$A$2:$D$41,2,FALSE),"Merchant not found")</f>
        <v>Merchant_030</v>
      </c>
      <c r="K42" t="str">
        <f>_xlfn.IFNA(VLOOKUP(C42,merchants!$A$2:$D$41,3,FALSE),"Merchant not found")</f>
        <v>travel</v>
      </c>
      <c r="L42" t="str">
        <f>_xlfn.IFNA(VLOOKUP(C42,merchants!$A$2:$D$41,4,FALSE),"Merchant not found")</f>
        <v>West</v>
      </c>
      <c r="M42" s="2">
        <f>HLOOKUP(G42,Fees!$B$1:$E$2,2,FALSE)</f>
        <v>0</v>
      </c>
      <c r="N42" t="str">
        <f>IF(AND(K42&lt;&gt;"East",GETPIVOTDATA("amount_inr",'Daily Totals'!$A$4,"merchant_name",J42,"Days (transaction_time)",TEXT(D42,"dd-mmm"))&gt;5000),"High-Value Merchant Day", "Normal")</f>
        <v>Normal</v>
      </c>
    </row>
    <row r="43" spans="1:14" x14ac:dyDescent="0.3">
      <c r="A43" t="s">
        <v>56</v>
      </c>
      <c r="B43">
        <v>216</v>
      </c>
      <c r="C43">
        <v>25</v>
      </c>
      <c r="D43" s="1">
        <v>46024.286805555559</v>
      </c>
      <c r="E43" s="8">
        <f t="shared" si="0"/>
        <v>46024</v>
      </c>
      <c r="F43">
        <v>99</v>
      </c>
      <c r="G43" t="s">
        <v>12</v>
      </c>
      <c r="H43" t="s">
        <v>10</v>
      </c>
      <c r="I43">
        <v>98</v>
      </c>
      <c r="J43" t="str">
        <f>_xlfn.IFNA(VLOOKUP(C43,merchants!$A$2:$D$41,2,FALSE),"Merchant not found")</f>
        <v>Merchant_025</v>
      </c>
      <c r="K43" t="str">
        <f>_xlfn.IFNA(VLOOKUP(C43,merchants!$A$2:$D$41,3,FALSE),"Merchant not found")</f>
        <v>travel</v>
      </c>
      <c r="L43" t="str">
        <f>_xlfn.IFNA(VLOOKUP(C43,merchants!$A$2:$D$41,4,FALSE),"Merchant not found")</f>
        <v>South</v>
      </c>
      <c r="M43" s="2">
        <f>HLOOKUP(G43,Fees!$B$1:$E$2,2,FALSE)</f>
        <v>0</v>
      </c>
      <c r="N43" t="str">
        <f>IF(AND(K43&lt;&gt;"East",GETPIVOTDATA("amount_inr",'Daily Totals'!$A$4,"merchant_name",J43,"Days (transaction_time)",TEXT(D43,"dd-mmm"))&gt;5000),"High-Value Merchant Day", "Normal")</f>
        <v>Normal</v>
      </c>
    </row>
    <row r="44" spans="1:14" x14ac:dyDescent="0.3">
      <c r="A44" t="s">
        <v>57</v>
      </c>
      <c r="B44">
        <v>295</v>
      </c>
      <c r="C44">
        <v>25</v>
      </c>
      <c r="D44" s="1">
        <v>46041.917361111111</v>
      </c>
      <c r="E44" s="8">
        <f t="shared" si="0"/>
        <v>46041</v>
      </c>
      <c r="F44">
        <v>1499</v>
      </c>
      <c r="G44" t="s">
        <v>12</v>
      </c>
      <c r="H44" t="s">
        <v>10</v>
      </c>
      <c r="I44">
        <v>61</v>
      </c>
      <c r="J44" t="str">
        <f>_xlfn.IFNA(VLOOKUP(C44,merchants!$A$2:$D$41,2,FALSE),"Merchant not found")</f>
        <v>Merchant_025</v>
      </c>
      <c r="K44" t="str">
        <f>_xlfn.IFNA(VLOOKUP(C44,merchants!$A$2:$D$41,3,FALSE),"Merchant not found")</f>
        <v>travel</v>
      </c>
      <c r="L44" t="str">
        <f>_xlfn.IFNA(VLOOKUP(C44,merchants!$A$2:$D$41,4,FALSE),"Merchant not found")</f>
        <v>South</v>
      </c>
      <c r="M44" s="2">
        <f>HLOOKUP(G44,Fees!$B$1:$E$2,2,FALSE)</f>
        <v>0</v>
      </c>
      <c r="N44" t="str">
        <f>IF(AND(K44&lt;&gt;"East",GETPIVOTDATA("amount_inr",'Daily Totals'!$A$4,"merchant_name",J44,"Days (transaction_time)",TEXT(D44,"dd-mmm"))&gt;5000),"High-Value Merchant Day", "Normal")</f>
        <v>Normal</v>
      </c>
    </row>
    <row r="45" spans="1:14" x14ac:dyDescent="0.3">
      <c r="A45" t="s">
        <v>58</v>
      </c>
      <c r="B45">
        <v>200</v>
      </c>
      <c r="C45">
        <v>27</v>
      </c>
      <c r="D45" s="1">
        <v>46023.47152777778</v>
      </c>
      <c r="E45" s="8">
        <f t="shared" si="0"/>
        <v>46023</v>
      </c>
      <c r="F45">
        <v>149</v>
      </c>
      <c r="G45" t="s">
        <v>12</v>
      </c>
      <c r="H45" t="s">
        <v>10</v>
      </c>
      <c r="I45">
        <v>68</v>
      </c>
      <c r="J45" t="str">
        <f>_xlfn.IFNA(VLOOKUP(C45,merchants!$A$2:$D$41,2,FALSE),"Merchant not found")</f>
        <v>Merchant_027</v>
      </c>
      <c r="K45" t="str">
        <f>_xlfn.IFNA(VLOOKUP(C45,merchants!$A$2:$D$41,3,FALSE),"Merchant not found")</f>
        <v>ecommerce</v>
      </c>
      <c r="L45" t="str">
        <f>_xlfn.IFNA(VLOOKUP(C45,merchants!$A$2:$D$41,4,FALSE),"Merchant not found")</f>
        <v>North</v>
      </c>
      <c r="M45" s="2">
        <f>HLOOKUP(G45,Fees!$B$1:$E$2,2,FALSE)</f>
        <v>0</v>
      </c>
      <c r="N45" t="str">
        <f>IF(AND(K45&lt;&gt;"East",GETPIVOTDATA("amount_inr",'Daily Totals'!$A$4,"merchant_name",J45,"Days (transaction_time)",TEXT(D45,"dd-mmm"))&gt;5000),"High-Value Merchant Day", "Normal")</f>
        <v>Normal</v>
      </c>
    </row>
    <row r="46" spans="1:14" x14ac:dyDescent="0.3">
      <c r="A46" t="s">
        <v>59</v>
      </c>
      <c r="B46">
        <v>309</v>
      </c>
      <c r="C46">
        <v>15</v>
      </c>
      <c r="D46" s="1">
        <v>46046.981944444444</v>
      </c>
      <c r="E46" s="8">
        <f t="shared" si="0"/>
        <v>46046</v>
      </c>
      <c r="F46">
        <v>99</v>
      </c>
      <c r="G46" t="s">
        <v>15</v>
      </c>
      <c r="H46" t="s">
        <v>10</v>
      </c>
      <c r="I46">
        <v>62</v>
      </c>
      <c r="J46" t="str">
        <f>_xlfn.IFNA(VLOOKUP(C46,merchants!$A$2:$D$41,2,FALSE),"Merchant not found")</f>
        <v>Merchant_015</v>
      </c>
      <c r="K46" t="str">
        <f>_xlfn.IFNA(VLOOKUP(C46,merchants!$A$2:$D$41,3,FALSE),"Merchant not found")</f>
        <v>travel</v>
      </c>
      <c r="L46" t="str">
        <f>_xlfn.IFNA(VLOOKUP(C46,merchants!$A$2:$D$41,4,FALSE),"Merchant not found")</f>
        <v>North</v>
      </c>
      <c r="M46" s="2">
        <f>HLOOKUP(G46,Fees!$B$1:$E$2,2,FALSE)</f>
        <v>0.01</v>
      </c>
      <c r="N46" t="str">
        <f>IF(AND(K46&lt;&gt;"East",GETPIVOTDATA("amount_inr",'Daily Totals'!$A$4,"merchant_name",J46,"Days (transaction_time)",TEXT(D46,"dd-mmm"))&gt;5000),"High-Value Merchant Day", "Normal")</f>
        <v>Normal</v>
      </c>
    </row>
    <row r="47" spans="1:14" x14ac:dyDescent="0.3">
      <c r="A47" t="s">
        <v>60</v>
      </c>
      <c r="B47">
        <v>249</v>
      </c>
      <c r="C47">
        <v>2</v>
      </c>
      <c r="D47" s="1">
        <v>46030.352083333331</v>
      </c>
      <c r="E47" s="8">
        <f t="shared" si="0"/>
        <v>46030</v>
      </c>
      <c r="F47">
        <v>299</v>
      </c>
      <c r="G47" t="s">
        <v>9</v>
      </c>
      <c r="H47" t="s">
        <v>10</v>
      </c>
      <c r="I47">
        <v>49</v>
      </c>
      <c r="J47" t="str">
        <f>_xlfn.IFNA(VLOOKUP(C47,merchants!$A$2:$D$41,2,FALSE),"Merchant not found")</f>
        <v>Merchant_002</v>
      </c>
      <c r="K47" t="str">
        <f>_xlfn.IFNA(VLOOKUP(C47,merchants!$A$2:$D$41,3,FALSE),"Merchant not found")</f>
        <v>grocery</v>
      </c>
      <c r="L47" t="str">
        <f>_xlfn.IFNA(VLOOKUP(C47,merchants!$A$2:$D$41,4,FALSE),"Merchant not found")</f>
        <v>West</v>
      </c>
      <c r="M47" s="2">
        <f>HLOOKUP(G47,Fees!$B$1:$E$2,2,FALSE)</f>
        <v>1.4999999999999999E-2</v>
      </c>
      <c r="N47" t="str">
        <f>IF(AND(K47&lt;&gt;"East",GETPIVOTDATA("amount_inr",'Daily Totals'!$A$4,"merchant_name",J47,"Days (transaction_time)",TEXT(D47,"dd-mmm"))&gt;5000),"High-Value Merchant Day", "Normal")</f>
        <v>Normal</v>
      </c>
    </row>
    <row r="48" spans="1:14" x14ac:dyDescent="0.3">
      <c r="A48" t="s">
        <v>61</v>
      </c>
      <c r="B48">
        <v>208</v>
      </c>
      <c r="C48">
        <v>11</v>
      </c>
      <c r="D48" s="1">
        <v>46033.904861111114</v>
      </c>
      <c r="E48" s="8">
        <f t="shared" si="0"/>
        <v>46033</v>
      </c>
      <c r="F48">
        <v>4999</v>
      </c>
      <c r="G48" t="s">
        <v>15</v>
      </c>
      <c r="H48" t="s">
        <v>10</v>
      </c>
      <c r="I48">
        <v>59</v>
      </c>
      <c r="J48" t="str">
        <f>_xlfn.IFNA(VLOOKUP(C48,merchants!$A$2:$D$41,2,FALSE),"Merchant not found")</f>
        <v>Merchant_011</v>
      </c>
      <c r="K48" t="str">
        <f>_xlfn.IFNA(VLOOKUP(C48,merchants!$A$2:$D$41,3,FALSE),"Merchant not found")</f>
        <v>ecommerce</v>
      </c>
      <c r="L48" t="str">
        <f>_xlfn.IFNA(VLOOKUP(C48,merchants!$A$2:$D$41,4,FALSE),"Merchant not found")</f>
        <v>North</v>
      </c>
      <c r="M48" s="2">
        <f>HLOOKUP(G48,Fees!$B$1:$E$2,2,FALSE)</f>
        <v>0.01</v>
      </c>
      <c r="N48" t="str">
        <f>IF(AND(K48&lt;&gt;"East",GETPIVOTDATA("amount_inr",'Daily Totals'!$A$4,"merchant_name",J48,"Days (transaction_time)",TEXT(D48,"dd-mmm"))&gt;5000),"High-Value Merchant Day", "Normal")</f>
        <v>Normal</v>
      </c>
    </row>
    <row r="49" spans="1:14" x14ac:dyDescent="0.3">
      <c r="A49" t="s">
        <v>62</v>
      </c>
      <c r="B49">
        <v>274</v>
      </c>
      <c r="C49">
        <v>2</v>
      </c>
      <c r="D49" s="1">
        <v>46052.193749999999</v>
      </c>
      <c r="E49" s="8">
        <f t="shared" si="0"/>
        <v>46052</v>
      </c>
      <c r="F49">
        <v>299</v>
      </c>
      <c r="G49" t="s">
        <v>12</v>
      </c>
      <c r="H49" t="s">
        <v>10</v>
      </c>
      <c r="I49">
        <v>50</v>
      </c>
      <c r="J49" t="str">
        <f>_xlfn.IFNA(VLOOKUP(C49,merchants!$A$2:$D$41,2,FALSE),"Merchant not found")</f>
        <v>Merchant_002</v>
      </c>
      <c r="K49" t="str">
        <f>_xlfn.IFNA(VLOOKUP(C49,merchants!$A$2:$D$41,3,FALSE),"Merchant not found")</f>
        <v>grocery</v>
      </c>
      <c r="L49" t="str">
        <f>_xlfn.IFNA(VLOOKUP(C49,merchants!$A$2:$D$41,4,FALSE),"Merchant not found")</f>
        <v>West</v>
      </c>
      <c r="M49" s="2">
        <f>HLOOKUP(G49,Fees!$B$1:$E$2,2,FALSE)</f>
        <v>0</v>
      </c>
      <c r="N49" t="str">
        <f>IF(AND(K49&lt;&gt;"East",GETPIVOTDATA("amount_inr",'Daily Totals'!$A$4,"merchant_name",J49,"Days (transaction_time)",TEXT(D49,"dd-mmm"))&gt;5000),"High-Value Merchant Day", "Normal")</f>
        <v>Normal</v>
      </c>
    </row>
    <row r="50" spans="1:14" x14ac:dyDescent="0.3">
      <c r="A50" t="s">
        <v>63</v>
      </c>
      <c r="B50">
        <v>14</v>
      </c>
      <c r="C50">
        <v>6</v>
      </c>
      <c r="D50" s="1">
        <v>46041.779166666667</v>
      </c>
      <c r="E50" s="8">
        <f t="shared" si="0"/>
        <v>46041</v>
      </c>
      <c r="F50">
        <v>49</v>
      </c>
      <c r="G50" t="s">
        <v>9</v>
      </c>
      <c r="H50" t="s">
        <v>10</v>
      </c>
      <c r="I50">
        <v>82</v>
      </c>
      <c r="J50" t="str">
        <f>_xlfn.IFNA(VLOOKUP(C50,merchants!$A$2:$D$41,2,FALSE),"Merchant not found")</f>
        <v>Merchant_006</v>
      </c>
      <c r="K50" t="str">
        <f>_xlfn.IFNA(VLOOKUP(C50,merchants!$A$2:$D$41,3,FALSE),"Merchant not found")</f>
        <v>food_delivery</v>
      </c>
      <c r="L50" t="str">
        <f>_xlfn.IFNA(VLOOKUP(C50,merchants!$A$2:$D$41,4,FALSE),"Merchant not found")</f>
        <v>South</v>
      </c>
      <c r="M50" s="2">
        <f>HLOOKUP(G50,Fees!$B$1:$E$2,2,FALSE)</f>
        <v>1.4999999999999999E-2</v>
      </c>
      <c r="N50" t="str">
        <f>IF(AND(K50&lt;&gt;"East",GETPIVOTDATA("amount_inr",'Daily Totals'!$A$4,"merchant_name",J50,"Days (transaction_time)",TEXT(D50,"dd-mmm"))&gt;5000),"High-Value Merchant Day", "Normal")</f>
        <v>Normal</v>
      </c>
    </row>
    <row r="51" spans="1:14" x14ac:dyDescent="0.3">
      <c r="A51" t="s">
        <v>64</v>
      </c>
      <c r="B51">
        <v>237</v>
      </c>
      <c r="C51">
        <v>12</v>
      </c>
      <c r="D51" s="1">
        <v>46036.204861111109</v>
      </c>
      <c r="E51" s="8">
        <f t="shared" si="0"/>
        <v>46036</v>
      </c>
      <c r="F51">
        <v>49</v>
      </c>
      <c r="G51" t="s">
        <v>12</v>
      </c>
      <c r="H51" t="s">
        <v>10</v>
      </c>
      <c r="I51">
        <v>6</v>
      </c>
      <c r="J51" t="str">
        <f>_xlfn.IFNA(VLOOKUP(C51,merchants!$A$2:$D$41,2,FALSE),"Merchant not found")</f>
        <v>Merchant_012</v>
      </c>
      <c r="K51" t="str">
        <f>_xlfn.IFNA(VLOOKUP(C51,merchants!$A$2:$D$41,3,FALSE),"Merchant not found")</f>
        <v>ecommerce</v>
      </c>
      <c r="L51" t="str">
        <f>_xlfn.IFNA(VLOOKUP(C51,merchants!$A$2:$D$41,4,FALSE),"Merchant not found")</f>
        <v>East</v>
      </c>
      <c r="M51" s="2">
        <f>HLOOKUP(G51,Fees!$B$1:$E$2,2,FALSE)</f>
        <v>0</v>
      </c>
      <c r="N51" t="str">
        <f>IF(AND(K51&lt;&gt;"East",GETPIVOTDATA("amount_inr",'Daily Totals'!$A$4,"merchant_name",J51,"Days (transaction_time)",TEXT(D51,"dd-mmm"))&gt;5000),"High-Value Merchant Day", "Normal")</f>
        <v>Normal</v>
      </c>
    </row>
    <row r="52" spans="1:14" x14ac:dyDescent="0.3">
      <c r="A52" t="s">
        <v>65</v>
      </c>
      <c r="B52">
        <v>109</v>
      </c>
      <c r="C52">
        <v>30</v>
      </c>
      <c r="D52" s="1">
        <v>46031.513888888891</v>
      </c>
      <c r="E52" s="8">
        <f t="shared" si="0"/>
        <v>46031</v>
      </c>
      <c r="F52">
        <v>99</v>
      </c>
      <c r="G52" t="s">
        <v>12</v>
      </c>
      <c r="H52" t="s">
        <v>10</v>
      </c>
      <c r="I52">
        <v>41</v>
      </c>
      <c r="J52" t="str">
        <f>_xlfn.IFNA(VLOOKUP(C52,merchants!$A$2:$D$41,2,FALSE),"Merchant not found")</f>
        <v>Merchant_030</v>
      </c>
      <c r="K52" t="str">
        <f>_xlfn.IFNA(VLOOKUP(C52,merchants!$A$2:$D$41,3,FALSE),"Merchant not found")</f>
        <v>travel</v>
      </c>
      <c r="L52" t="str">
        <f>_xlfn.IFNA(VLOOKUP(C52,merchants!$A$2:$D$41,4,FALSE),"Merchant not found")</f>
        <v>West</v>
      </c>
      <c r="M52" s="2">
        <f>HLOOKUP(G52,Fees!$B$1:$E$2,2,FALSE)</f>
        <v>0</v>
      </c>
      <c r="N52" t="str">
        <f>IF(AND(K52&lt;&gt;"East",GETPIVOTDATA("amount_inr",'Daily Totals'!$A$4,"merchant_name",J52,"Days (transaction_time)",TEXT(D52,"dd-mmm"))&gt;5000),"High-Value Merchant Day", "Normal")</f>
        <v>Normal</v>
      </c>
    </row>
    <row r="53" spans="1:14" x14ac:dyDescent="0.3">
      <c r="A53" t="s">
        <v>66</v>
      </c>
      <c r="B53">
        <v>216</v>
      </c>
      <c r="C53">
        <v>17</v>
      </c>
      <c r="D53" s="1">
        <v>46033.511805555558</v>
      </c>
      <c r="E53" s="8">
        <f t="shared" si="0"/>
        <v>46033</v>
      </c>
      <c r="F53">
        <v>4999</v>
      </c>
      <c r="G53" t="s">
        <v>12</v>
      </c>
      <c r="H53" t="s">
        <v>10</v>
      </c>
      <c r="I53">
        <v>10</v>
      </c>
      <c r="J53" t="str">
        <f>_xlfn.IFNA(VLOOKUP(C53,merchants!$A$2:$D$41,2,FALSE),"Merchant not found")</f>
        <v>Merchant_017</v>
      </c>
      <c r="K53" t="str">
        <f>_xlfn.IFNA(VLOOKUP(C53,merchants!$A$2:$D$41,3,FALSE),"Merchant not found")</f>
        <v>grocery</v>
      </c>
      <c r="L53" t="str">
        <f>_xlfn.IFNA(VLOOKUP(C53,merchants!$A$2:$D$41,4,FALSE),"Merchant not found")</f>
        <v>North</v>
      </c>
      <c r="M53" s="2">
        <f>HLOOKUP(G53,Fees!$B$1:$E$2,2,FALSE)</f>
        <v>0</v>
      </c>
      <c r="N53" t="str">
        <f>IF(AND(K53&lt;&gt;"East",GETPIVOTDATA("amount_inr",'Daily Totals'!$A$4,"merchant_name",J53,"Days (transaction_time)",TEXT(D53,"dd-mmm"))&gt;5000),"High-Value Merchant Day", "Normal")</f>
        <v>High-Value Merchant Day</v>
      </c>
    </row>
    <row r="54" spans="1:14" x14ac:dyDescent="0.3">
      <c r="A54" t="s">
        <v>67</v>
      </c>
      <c r="B54">
        <v>277</v>
      </c>
      <c r="C54">
        <v>4</v>
      </c>
      <c r="D54" s="1">
        <v>46038.032638888886</v>
      </c>
      <c r="E54" s="8">
        <f t="shared" si="0"/>
        <v>46038</v>
      </c>
      <c r="F54">
        <v>799</v>
      </c>
      <c r="G54" t="s">
        <v>12</v>
      </c>
      <c r="H54" t="s">
        <v>10</v>
      </c>
      <c r="I54">
        <v>44</v>
      </c>
      <c r="J54" t="str">
        <f>_xlfn.IFNA(VLOOKUP(C54,merchants!$A$2:$D$41,2,FALSE),"Merchant not found")</f>
        <v>Merchant_004</v>
      </c>
      <c r="K54" t="str">
        <f>_xlfn.IFNA(VLOOKUP(C54,merchants!$A$2:$D$41,3,FALSE),"Merchant not found")</f>
        <v>ecommerce</v>
      </c>
      <c r="L54" t="str">
        <f>_xlfn.IFNA(VLOOKUP(C54,merchants!$A$2:$D$41,4,FALSE),"Merchant not found")</f>
        <v>East</v>
      </c>
      <c r="M54" s="2">
        <f>HLOOKUP(G54,Fees!$B$1:$E$2,2,FALSE)</f>
        <v>0</v>
      </c>
      <c r="N54" t="str">
        <f>IF(AND(K54&lt;&gt;"East",GETPIVOTDATA("amount_inr",'Daily Totals'!$A$4,"merchant_name",J54,"Days (transaction_time)",TEXT(D54,"dd-mmm"))&gt;5000),"High-Value Merchant Day", "Normal")</f>
        <v>Normal</v>
      </c>
    </row>
    <row r="55" spans="1:14" x14ac:dyDescent="0.3">
      <c r="A55" t="s">
        <v>68</v>
      </c>
      <c r="B55">
        <v>334</v>
      </c>
      <c r="C55">
        <v>3</v>
      </c>
      <c r="D55" s="1">
        <v>46030.836111111108</v>
      </c>
      <c r="E55" s="8">
        <f t="shared" si="0"/>
        <v>46030</v>
      </c>
      <c r="F55">
        <v>149</v>
      </c>
      <c r="G55" t="s">
        <v>9</v>
      </c>
      <c r="H55" t="s">
        <v>10</v>
      </c>
      <c r="I55">
        <v>96</v>
      </c>
      <c r="J55" t="str">
        <f>_xlfn.IFNA(VLOOKUP(C55,merchants!$A$2:$D$41,2,FALSE),"Merchant not found")</f>
        <v>Merchant_003</v>
      </c>
      <c r="K55" t="str">
        <f>_xlfn.IFNA(VLOOKUP(C55,merchants!$A$2:$D$41,3,FALSE),"Merchant not found")</f>
        <v>grocery</v>
      </c>
      <c r="L55" t="str">
        <f>_xlfn.IFNA(VLOOKUP(C55,merchants!$A$2:$D$41,4,FALSE),"Merchant not found")</f>
        <v>East</v>
      </c>
      <c r="M55" s="2">
        <f>HLOOKUP(G55,Fees!$B$1:$E$2,2,FALSE)</f>
        <v>1.4999999999999999E-2</v>
      </c>
      <c r="N55" t="str">
        <f>IF(AND(K55&lt;&gt;"East",GETPIVOTDATA("amount_inr",'Daily Totals'!$A$4,"merchant_name",J55,"Days (transaction_time)",TEXT(D55,"dd-mmm"))&gt;5000),"High-Value Merchant Day", "Normal")</f>
        <v>Normal</v>
      </c>
    </row>
    <row r="56" spans="1:14" x14ac:dyDescent="0.3">
      <c r="A56" t="s">
        <v>69</v>
      </c>
      <c r="B56">
        <v>11</v>
      </c>
      <c r="C56">
        <v>40</v>
      </c>
      <c r="D56" s="1">
        <v>46023.3</v>
      </c>
      <c r="E56" s="8">
        <f t="shared" si="0"/>
        <v>46023</v>
      </c>
      <c r="F56">
        <v>299</v>
      </c>
      <c r="G56" t="s">
        <v>12</v>
      </c>
      <c r="H56" t="s">
        <v>10</v>
      </c>
      <c r="I56">
        <v>19</v>
      </c>
      <c r="J56" t="str">
        <f>_xlfn.IFNA(VLOOKUP(C56,merchants!$A$2:$D$41,2,FALSE),"Merchant not found")</f>
        <v>Merchant_040</v>
      </c>
      <c r="K56" t="str">
        <f>_xlfn.IFNA(VLOOKUP(C56,merchants!$A$2:$D$41,3,FALSE),"Merchant not found")</f>
        <v>entertainment</v>
      </c>
      <c r="L56" t="str">
        <f>_xlfn.IFNA(VLOOKUP(C56,merchants!$A$2:$D$41,4,FALSE),"Merchant not found")</f>
        <v>South</v>
      </c>
      <c r="M56" s="2">
        <f>HLOOKUP(G56,Fees!$B$1:$E$2,2,FALSE)</f>
        <v>0</v>
      </c>
      <c r="N56" t="str">
        <f>IF(AND(K56&lt;&gt;"East",GETPIVOTDATA("amount_inr",'Daily Totals'!$A$4,"merchant_name",J56,"Days (transaction_time)",TEXT(D56,"dd-mmm"))&gt;5000),"High-Value Merchant Day", "Normal")</f>
        <v>Normal</v>
      </c>
    </row>
    <row r="57" spans="1:14" x14ac:dyDescent="0.3">
      <c r="A57" t="s">
        <v>70</v>
      </c>
      <c r="B57">
        <v>343</v>
      </c>
      <c r="C57">
        <v>8</v>
      </c>
      <c r="D57" s="1">
        <v>46030.1875</v>
      </c>
      <c r="E57" s="8">
        <f t="shared" si="0"/>
        <v>46030</v>
      </c>
      <c r="F57">
        <v>99</v>
      </c>
      <c r="G57" t="s">
        <v>12</v>
      </c>
      <c r="H57" t="s">
        <v>10</v>
      </c>
      <c r="I57">
        <v>72</v>
      </c>
      <c r="J57" t="str">
        <f>_xlfn.IFNA(VLOOKUP(C57,merchants!$A$2:$D$41,2,FALSE),"Merchant not found")</f>
        <v>Merchant_008</v>
      </c>
      <c r="K57" t="str">
        <f>_xlfn.IFNA(VLOOKUP(C57,merchants!$A$2:$D$41,3,FALSE),"Merchant not found")</f>
        <v>food_delivery</v>
      </c>
      <c r="L57" t="str">
        <f>_xlfn.IFNA(VLOOKUP(C57,merchants!$A$2:$D$41,4,FALSE),"Merchant not found")</f>
        <v>North</v>
      </c>
      <c r="M57" s="2">
        <f>HLOOKUP(G57,Fees!$B$1:$E$2,2,FALSE)</f>
        <v>0</v>
      </c>
      <c r="N57" t="str">
        <f>IF(AND(K57&lt;&gt;"East",GETPIVOTDATA("amount_inr",'Daily Totals'!$A$4,"merchant_name",J57,"Days (transaction_time)",TEXT(D57,"dd-mmm"))&gt;5000),"High-Value Merchant Day", "Normal")</f>
        <v>Normal</v>
      </c>
    </row>
    <row r="58" spans="1:14" x14ac:dyDescent="0.3">
      <c r="A58" t="s">
        <v>71</v>
      </c>
      <c r="B58">
        <v>132</v>
      </c>
      <c r="C58">
        <v>24</v>
      </c>
      <c r="D58" s="1">
        <v>46029.613888888889</v>
      </c>
      <c r="E58" s="8">
        <f t="shared" si="0"/>
        <v>46029</v>
      </c>
      <c r="F58">
        <v>299</v>
      </c>
      <c r="G58" t="s">
        <v>9</v>
      </c>
      <c r="H58" t="s">
        <v>10</v>
      </c>
      <c r="I58">
        <v>21</v>
      </c>
      <c r="J58" t="str">
        <f>_xlfn.IFNA(VLOOKUP(C58,merchants!$A$2:$D$41,2,FALSE),"Merchant not found")</f>
        <v>Merchant_024</v>
      </c>
      <c r="K58" t="str">
        <f>_xlfn.IFNA(VLOOKUP(C58,merchants!$A$2:$D$41,3,FALSE),"Merchant not found")</f>
        <v>grocery</v>
      </c>
      <c r="L58" t="str">
        <f>_xlfn.IFNA(VLOOKUP(C58,merchants!$A$2:$D$41,4,FALSE),"Merchant not found")</f>
        <v>North</v>
      </c>
      <c r="M58" s="2">
        <f>HLOOKUP(G58,Fees!$B$1:$E$2,2,FALSE)</f>
        <v>1.4999999999999999E-2</v>
      </c>
      <c r="N58" t="str">
        <f>IF(AND(K58&lt;&gt;"East",GETPIVOTDATA("amount_inr",'Daily Totals'!$A$4,"merchant_name",J58,"Days (transaction_time)",TEXT(D58,"dd-mmm"))&gt;5000),"High-Value Merchant Day", "Normal")</f>
        <v>Normal</v>
      </c>
    </row>
    <row r="59" spans="1:14" x14ac:dyDescent="0.3">
      <c r="A59" t="s">
        <v>72</v>
      </c>
      <c r="B59">
        <v>59</v>
      </c>
      <c r="C59">
        <v>11</v>
      </c>
      <c r="D59" s="1">
        <v>46042.824305555558</v>
      </c>
      <c r="E59" s="8">
        <f t="shared" si="0"/>
        <v>46042</v>
      </c>
      <c r="F59">
        <v>299</v>
      </c>
      <c r="G59" t="s">
        <v>12</v>
      </c>
      <c r="H59" t="s">
        <v>10</v>
      </c>
      <c r="I59">
        <v>39</v>
      </c>
      <c r="J59" t="str">
        <f>_xlfn.IFNA(VLOOKUP(C59,merchants!$A$2:$D$41,2,FALSE),"Merchant not found")</f>
        <v>Merchant_011</v>
      </c>
      <c r="K59" t="str">
        <f>_xlfn.IFNA(VLOOKUP(C59,merchants!$A$2:$D$41,3,FALSE),"Merchant not found")</f>
        <v>ecommerce</v>
      </c>
      <c r="L59" t="str">
        <f>_xlfn.IFNA(VLOOKUP(C59,merchants!$A$2:$D$41,4,FALSE),"Merchant not found")</f>
        <v>North</v>
      </c>
      <c r="M59" s="2">
        <f>HLOOKUP(G59,Fees!$B$1:$E$2,2,FALSE)</f>
        <v>0</v>
      </c>
      <c r="N59" t="str">
        <f>IF(AND(K59&lt;&gt;"East",GETPIVOTDATA("amount_inr",'Daily Totals'!$A$4,"merchant_name",J59,"Days (transaction_time)",TEXT(D59,"dd-mmm"))&gt;5000),"High-Value Merchant Day", "Normal")</f>
        <v>Normal</v>
      </c>
    </row>
    <row r="60" spans="1:14" x14ac:dyDescent="0.3">
      <c r="A60" t="s">
        <v>73</v>
      </c>
      <c r="B60">
        <v>160</v>
      </c>
      <c r="C60">
        <v>37</v>
      </c>
      <c r="D60" s="1">
        <v>46026.750694444447</v>
      </c>
      <c r="E60" s="8">
        <f t="shared" si="0"/>
        <v>46026</v>
      </c>
      <c r="F60">
        <v>49</v>
      </c>
      <c r="G60" t="s">
        <v>9</v>
      </c>
      <c r="H60" t="s">
        <v>10</v>
      </c>
      <c r="I60">
        <v>86</v>
      </c>
      <c r="J60" t="str">
        <f>_xlfn.IFNA(VLOOKUP(C60,merchants!$A$2:$D$41,2,FALSE),"Merchant not found")</f>
        <v>Merchant_037</v>
      </c>
      <c r="K60" t="str">
        <f>_xlfn.IFNA(VLOOKUP(C60,merchants!$A$2:$D$41,3,FALSE),"Merchant not found")</f>
        <v>entertainment</v>
      </c>
      <c r="L60" t="str">
        <f>_xlfn.IFNA(VLOOKUP(C60,merchants!$A$2:$D$41,4,FALSE),"Merchant not found")</f>
        <v>South</v>
      </c>
      <c r="M60" s="2">
        <f>HLOOKUP(G60,Fees!$B$1:$E$2,2,FALSE)</f>
        <v>1.4999999999999999E-2</v>
      </c>
      <c r="N60" t="str">
        <f>IF(AND(K60&lt;&gt;"East",GETPIVOTDATA("amount_inr",'Daily Totals'!$A$4,"merchant_name",J60,"Days (transaction_time)",TEXT(D60,"dd-mmm"))&gt;5000),"High-Value Merchant Day", "Normal")</f>
        <v>Normal</v>
      </c>
    </row>
    <row r="61" spans="1:14" x14ac:dyDescent="0.3">
      <c r="A61" t="s">
        <v>74</v>
      </c>
      <c r="B61">
        <v>102</v>
      </c>
      <c r="C61">
        <v>5</v>
      </c>
      <c r="D61" s="1">
        <v>46052.517361111109</v>
      </c>
      <c r="E61" s="8">
        <f t="shared" si="0"/>
        <v>46052</v>
      </c>
      <c r="F61">
        <v>2999</v>
      </c>
      <c r="G61" t="s">
        <v>12</v>
      </c>
      <c r="H61" t="s">
        <v>10</v>
      </c>
      <c r="I61">
        <v>75</v>
      </c>
      <c r="J61" t="str">
        <f>_xlfn.IFNA(VLOOKUP(C61,merchants!$A$2:$D$41,2,FALSE),"Merchant not found")</f>
        <v>Merchant_005</v>
      </c>
      <c r="K61" t="str">
        <f>_xlfn.IFNA(VLOOKUP(C61,merchants!$A$2:$D$41,3,FALSE),"Merchant not found")</f>
        <v>recharge</v>
      </c>
      <c r="L61" t="str">
        <f>_xlfn.IFNA(VLOOKUP(C61,merchants!$A$2:$D$41,4,FALSE),"Merchant not found")</f>
        <v>South</v>
      </c>
      <c r="M61" s="2">
        <f>HLOOKUP(G61,Fees!$B$1:$E$2,2,FALSE)</f>
        <v>0</v>
      </c>
      <c r="N61" t="str">
        <f>IF(AND(K61&lt;&gt;"East",GETPIVOTDATA("amount_inr",'Daily Totals'!$A$4,"merchant_name",J61,"Days (transaction_time)",TEXT(D61,"dd-mmm"))&gt;5000),"High-Value Merchant Day", "Normal")</f>
        <v>Normal</v>
      </c>
    </row>
    <row r="62" spans="1:14" x14ac:dyDescent="0.3">
      <c r="A62" t="s">
        <v>75</v>
      </c>
      <c r="B62">
        <v>53</v>
      </c>
      <c r="C62">
        <v>20</v>
      </c>
      <c r="D62" s="1">
        <v>46045.84375</v>
      </c>
      <c r="E62" s="8">
        <f t="shared" si="0"/>
        <v>46045</v>
      </c>
      <c r="F62">
        <v>49</v>
      </c>
      <c r="G62" t="s">
        <v>15</v>
      </c>
      <c r="H62" t="s">
        <v>10</v>
      </c>
      <c r="I62">
        <v>87</v>
      </c>
      <c r="J62" t="str">
        <f>_xlfn.IFNA(VLOOKUP(C62,merchants!$A$2:$D$41,2,FALSE),"Merchant not found")</f>
        <v>Merchant_020</v>
      </c>
      <c r="K62" t="str">
        <f>_xlfn.IFNA(VLOOKUP(C62,merchants!$A$2:$D$41,3,FALSE),"Merchant not found")</f>
        <v>food_delivery</v>
      </c>
      <c r="L62" t="str">
        <f>_xlfn.IFNA(VLOOKUP(C62,merchants!$A$2:$D$41,4,FALSE),"Merchant not found")</f>
        <v>East</v>
      </c>
      <c r="M62" s="2">
        <f>HLOOKUP(G62,Fees!$B$1:$E$2,2,FALSE)</f>
        <v>0.01</v>
      </c>
      <c r="N62" t="str">
        <f>IF(AND(K62&lt;&gt;"East",GETPIVOTDATA("amount_inr",'Daily Totals'!$A$4,"merchant_name",J62,"Days (transaction_time)",TEXT(D62,"dd-mmm"))&gt;5000),"High-Value Merchant Day", "Normal")</f>
        <v>Normal</v>
      </c>
    </row>
    <row r="63" spans="1:14" x14ac:dyDescent="0.3">
      <c r="A63" t="s">
        <v>76</v>
      </c>
      <c r="B63">
        <v>290</v>
      </c>
      <c r="C63">
        <v>3</v>
      </c>
      <c r="D63" s="1">
        <v>46042.159722222219</v>
      </c>
      <c r="E63" s="8">
        <f t="shared" si="0"/>
        <v>46042</v>
      </c>
      <c r="F63">
        <v>99</v>
      </c>
      <c r="G63" t="s">
        <v>9</v>
      </c>
      <c r="H63" t="s">
        <v>10</v>
      </c>
      <c r="I63">
        <v>44</v>
      </c>
      <c r="J63" t="str">
        <f>_xlfn.IFNA(VLOOKUP(C63,merchants!$A$2:$D$41,2,FALSE),"Merchant not found")</f>
        <v>Merchant_003</v>
      </c>
      <c r="K63" t="str">
        <f>_xlfn.IFNA(VLOOKUP(C63,merchants!$A$2:$D$41,3,FALSE),"Merchant not found")</f>
        <v>grocery</v>
      </c>
      <c r="L63" t="str">
        <f>_xlfn.IFNA(VLOOKUP(C63,merchants!$A$2:$D$41,4,FALSE),"Merchant not found")</f>
        <v>East</v>
      </c>
      <c r="M63" s="2">
        <f>HLOOKUP(G63,Fees!$B$1:$E$2,2,FALSE)</f>
        <v>1.4999999999999999E-2</v>
      </c>
      <c r="N63" t="str">
        <f>IF(AND(K63&lt;&gt;"East",GETPIVOTDATA("amount_inr",'Daily Totals'!$A$4,"merchant_name",J63,"Days (transaction_time)",TEXT(D63,"dd-mmm"))&gt;5000),"High-Value Merchant Day", "Normal")</f>
        <v>Normal</v>
      </c>
    </row>
    <row r="64" spans="1:14" x14ac:dyDescent="0.3">
      <c r="A64" t="s">
        <v>77</v>
      </c>
      <c r="B64">
        <v>190</v>
      </c>
      <c r="C64">
        <v>5</v>
      </c>
      <c r="D64" s="1">
        <v>46040.570833333331</v>
      </c>
      <c r="E64" s="8">
        <f t="shared" si="0"/>
        <v>46040</v>
      </c>
      <c r="F64">
        <v>299</v>
      </c>
      <c r="G64" t="s">
        <v>12</v>
      </c>
      <c r="H64" t="s">
        <v>10</v>
      </c>
      <c r="I64">
        <v>64</v>
      </c>
      <c r="J64" t="str">
        <f>_xlfn.IFNA(VLOOKUP(C64,merchants!$A$2:$D$41,2,FALSE),"Merchant not found")</f>
        <v>Merchant_005</v>
      </c>
      <c r="K64" t="str">
        <f>_xlfn.IFNA(VLOOKUP(C64,merchants!$A$2:$D$41,3,FALSE),"Merchant not found")</f>
        <v>recharge</v>
      </c>
      <c r="L64" t="str">
        <f>_xlfn.IFNA(VLOOKUP(C64,merchants!$A$2:$D$41,4,FALSE),"Merchant not found")</f>
        <v>South</v>
      </c>
      <c r="M64" s="2">
        <f>HLOOKUP(G64,Fees!$B$1:$E$2,2,FALSE)</f>
        <v>0</v>
      </c>
      <c r="N64" t="str">
        <f>IF(AND(K64&lt;&gt;"East",GETPIVOTDATA("amount_inr",'Daily Totals'!$A$4,"merchant_name",J64,"Days (transaction_time)",TEXT(D64,"dd-mmm"))&gt;5000),"High-Value Merchant Day", "Normal")</f>
        <v>Normal</v>
      </c>
    </row>
    <row r="65" spans="1:14" x14ac:dyDescent="0.3">
      <c r="A65" t="s">
        <v>78</v>
      </c>
      <c r="B65">
        <v>216</v>
      </c>
      <c r="C65">
        <v>32</v>
      </c>
      <c r="D65" s="1">
        <v>46043.416666666664</v>
      </c>
      <c r="E65" s="8">
        <f t="shared" si="0"/>
        <v>46043</v>
      </c>
      <c r="F65">
        <v>49</v>
      </c>
      <c r="G65" t="s">
        <v>24</v>
      </c>
      <c r="H65" t="s">
        <v>10</v>
      </c>
      <c r="I65">
        <v>13</v>
      </c>
      <c r="J65" t="str">
        <f>_xlfn.IFNA(VLOOKUP(C65,merchants!$A$2:$D$41,2,FALSE),"Merchant not found")</f>
        <v>Merchant_032</v>
      </c>
      <c r="K65" t="str">
        <f>_xlfn.IFNA(VLOOKUP(C65,merchants!$A$2:$D$41,3,FALSE),"Merchant not found")</f>
        <v>food_delivery</v>
      </c>
      <c r="L65" t="str">
        <f>_xlfn.IFNA(VLOOKUP(C65,merchants!$A$2:$D$41,4,FALSE),"Merchant not found")</f>
        <v>West</v>
      </c>
      <c r="M65" s="2">
        <f>HLOOKUP(G65,Fees!$B$1:$E$2,2,FALSE)</f>
        <v>0.02</v>
      </c>
      <c r="N65" t="str">
        <f>IF(AND(K65&lt;&gt;"East",GETPIVOTDATA("amount_inr",'Daily Totals'!$A$4,"merchant_name",J65,"Days (transaction_time)",TEXT(D65,"dd-mmm"))&gt;5000),"High-Value Merchant Day", "Normal")</f>
        <v>Normal</v>
      </c>
    </row>
    <row r="66" spans="1:14" x14ac:dyDescent="0.3">
      <c r="A66" t="s">
        <v>79</v>
      </c>
      <c r="B66">
        <v>236</v>
      </c>
      <c r="C66">
        <v>10</v>
      </c>
      <c r="D66" s="1">
        <v>46036.486111111109</v>
      </c>
      <c r="E66" s="8">
        <f t="shared" si="0"/>
        <v>46036</v>
      </c>
      <c r="F66">
        <v>499</v>
      </c>
      <c r="G66" t="s">
        <v>12</v>
      </c>
      <c r="H66" t="s">
        <v>10</v>
      </c>
      <c r="I66">
        <v>55</v>
      </c>
      <c r="J66" t="str">
        <f>_xlfn.IFNA(VLOOKUP(C66,merchants!$A$2:$D$41,2,FALSE),"Merchant not found")</f>
        <v>Merchant_010</v>
      </c>
      <c r="K66" t="str">
        <f>_xlfn.IFNA(VLOOKUP(C66,merchants!$A$2:$D$41,3,FALSE),"Merchant not found")</f>
        <v>grocery</v>
      </c>
      <c r="L66" t="str">
        <f>_xlfn.IFNA(VLOOKUP(C66,merchants!$A$2:$D$41,4,FALSE),"Merchant not found")</f>
        <v>West</v>
      </c>
      <c r="M66" s="2">
        <f>HLOOKUP(G66,Fees!$B$1:$E$2,2,FALSE)</f>
        <v>0</v>
      </c>
      <c r="N66" t="str">
        <f>IF(AND(K66&lt;&gt;"East",GETPIVOTDATA("amount_inr",'Daily Totals'!$A$4,"merchant_name",J66,"Days (transaction_time)",TEXT(D66,"dd-mmm"))&gt;5000),"High-Value Merchant Day", "Normal")</f>
        <v>Normal</v>
      </c>
    </row>
    <row r="67" spans="1:14" x14ac:dyDescent="0.3">
      <c r="A67" t="s">
        <v>80</v>
      </c>
      <c r="B67">
        <v>334</v>
      </c>
      <c r="C67">
        <v>18</v>
      </c>
      <c r="D67" s="1">
        <v>46028.981249999997</v>
      </c>
      <c r="E67" s="8">
        <f t="shared" ref="E67:E130" si="1">INT(D67)</f>
        <v>46028</v>
      </c>
      <c r="F67">
        <v>499</v>
      </c>
      <c r="G67" t="s">
        <v>24</v>
      </c>
      <c r="H67" t="s">
        <v>10</v>
      </c>
      <c r="I67">
        <v>78</v>
      </c>
      <c r="J67" t="str">
        <f>_xlfn.IFNA(VLOOKUP(C67,merchants!$A$2:$D$41,2,FALSE),"Merchant not found")</f>
        <v>Merchant_018</v>
      </c>
      <c r="K67" t="str">
        <f>_xlfn.IFNA(VLOOKUP(C67,merchants!$A$2:$D$41,3,FALSE),"Merchant not found")</f>
        <v>grocery</v>
      </c>
      <c r="L67" t="str">
        <f>_xlfn.IFNA(VLOOKUP(C67,merchants!$A$2:$D$41,4,FALSE),"Merchant not found")</f>
        <v>West</v>
      </c>
      <c r="M67" s="2">
        <f>HLOOKUP(G67,Fees!$B$1:$E$2,2,FALSE)</f>
        <v>0.02</v>
      </c>
      <c r="N67" t="str">
        <f>IF(AND(K67&lt;&gt;"East",GETPIVOTDATA("amount_inr",'Daily Totals'!$A$4,"merchant_name",J67,"Days (transaction_time)",TEXT(D67,"dd-mmm"))&gt;5000),"High-Value Merchant Day", "Normal")</f>
        <v>Normal</v>
      </c>
    </row>
    <row r="68" spans="1:14" x14ac:dyDescent="0.3">
      <c r="A68" t="s">
        <v>81</v>
      </c>
      <c r="B68">
        <v>248</v>
      </c>
      <c r="C68">
        <v>30</v>
      </c>
      <c r="D68" s="1">
        <v>46048.742361111108</v>
      </c>
      <c r="E68" s="8">
        <f t="shared" si="1"/>
        <v>46048</v>
      </c>
      <c r="F68">
        <v>799</v>
      </c>
      <c r="G68" t="s">
        <v>9</v>
      </c>
      <c r="H68" t="s">
        <v>10</v>
      </c>
      <c r="I68">
        <v>55</v>
      </c>
      <c r="J68" t="str">
        <f>_xlfn.IFNA(VLOOKUP(C68,merchants!$A$2:$D$41,2,FALSE),"Merchant not found")</f>
        <v>Merchant_030</v>
      </c>
      <c r="K68" t="str">
        <f>_xlfn.IFNA(VLOOKUP(C68,merchants!$A$2:$D$41,3,FALSE),"Merchant not found")</f>
        <v>travel</v>
      </c>
      <c r="L68" t="str">
        <f>_xlfn.IFNA(VLOOKUP(C68,merchants!$A$2:$D$41,4,FALSE),"Merchant not found")</f>
        <v>West</v>
      </c>
      <c r="M68" s="2">
        <f>HLOOKUP(G68,Fees!$B$1:$E$2,2,FALSE)</f>
        <v>1.4999999999999999E-2</v>
      </c>
      <c r="N68" t="str">
        <f>IF(AND(K68&lt;&gt;"East",GETPIVOTDATA("amount_inr",'Daily Totals'!$A$4,"merchant_name",J68,"Days (transaction_time)",TEXT(D68,"dd-mmm"))&gt;5000),"High-Value Merchant Day", "Normal")</f>
        <v>Normal</v>
      </c>
    </row>
    <row r="69" spans="1:14" x14ac:dyDescent="0.3">
      <c r="A69" t="s">
        <v>82</v>
      </c>
      <c r="B69">
        <v>138</v>
      </c>
      <c r="C69">
        <v>21</v>
      </c>
      <c r="D69" s="1">
        <v>46049.984027777777</v>
      </c>
      <c r="E69" s="8">
        <f t="shared" si="1"/>
        <v>46049</v>
      </c>
      <c r="F69">
        <v>49</v>
      </c>
      <c r="G69" t="s">
        <v>24</v>
      </c>
      <c r="H69" t="s">
        <v>10</v>
      </c>
      <c r="I69">
        <v>31</v>
      </c>
      <c r="J69" t="str">
        <f>_xlfn.IFNA(VLOOKUP(C69,merchants!$A$2:$D$41,2,FALSE),"Merchant not found")</f>
        <v>Merchant_021</v>
      </c>
      <c r="K69" t="str">
        <f>_xlfn.IFNA(VLOOKUP(C69,merchants!$A$2:$D$41,3,FALSE),"Merchant not found")</f>
        <v>food_delivery</v>
      </c>
      <c r="L69" t="str">
        <f>_xlfn.IFNA(VLOOKUP(C69,merchants!$A$2:$D$41,4,FALSE),"Merchant not found")</f>
        <v>East</v>
      </c>
      <c r="M69" s="2">
        <f>HLOOKUP(G69,Fees!$B$1:$E$2,2,FALSE)</f>
        <v>0.02</v>
      </c>
      <c r="N69" t="str">
        <f>IF(AND(K69&lt;&gt;"East",GETPIVOTDATA("amount_inr",'Daily Totals'!$A$4,"merchant_name",J69,"Days (transaction_time)",TEXT(D69,"dd-mmm"))&gt;5000),"High-Value Merchant Day", "Normal")</f>
        <v>Normal</v>
      </c>
    </row>
    <row r="70" spans="1:14" x14ac:dyDescent="0.3">
      <c r="A70" t="s">
        <v>83</v>
      </c>
      <c r="B70">
        <v>231</v>
      </c>
      <c r="C70">
        <v>16</v>
      </c>
      <c r="D70" s="1">
        <v>46049.095138888886</v>
      </c>
      <c r="E70" s="8">
        <f t="shared" si="1"/>
        <v>46049</v>
      </c>
      <c r="F70">
        <v>49</v>
      </c>
      <c r="G70" t="s">
        <v>12</v>
      </c>
      <c r="H70" t="s">
        <v>10</v>
      </c>
      <c r="I70">
        <v>96</v>
      </c>
      <c r="J70" t="str">
        <f>_xlfn.IFNA(VLOOKUP(C70,merchants!$A$2:$D$41,2,FALSE),"Merchant not found")</f>
        <v>Merchant_016</v>
      </c>
      <c r="K70" t="str">
        <f>_xlfn.IFNA(VLOOKUP(C70,merchants!$A$2:$D$41,3,FALSE),"Merchant not found")</f>
        <v>bill_payment</v>
      </c>
      <c r="L70" t="str">
        <f>_xlfn.IFNA(VLOOKUP(C70,merchants!$A$2:$D$41,4,FALSE),"Merchant not found")</f>
        <v>West</v>
      </c>
      <c r="M70" s="2">
        <f>HLOOKUP(G70,Fees!$B$1:$E$2,2,FALSE)</f>
        <v>0</v>
      </c>
      <c r="N70" t="str">
        <f>IF(AND(K70&lt;&gt;"East",GETPIVOTDATA("amount_inr",'Daily Totals'!$A$4,"merchant_name",J70,"Days (transaction_time)",TEXT(D70,"dd-mmm"))&gt;5000),"High-Value Merchant Day", "Normal")</f>
        <v>Normal</v>
      </c>
    </row>
    <row r="71" spans="1:14" x14ac:dyDescent="0.3">
      <c r="A71" t="s">
        <v>84</v>
      </c>
      <c r="B71">
        <v>343</v>
      </c>
      <c r="C71">
        <v>25</v>
      </c>
      <c r="D71" s="1">
        <v>46037.777083333334</v>
      </c>
      <c r="E71" s="8">
        <f t="shared" si="1"/>
        <v>46037</v>
      </c>
      <c r="F71">
        <v>49</v>
      </c>
      <c r="G71" t="s">
        <v>12</v>
      </c>
      <c r="H71" t="s">
        <v>10</v>
      </c>
      <c r="I71">
        <v>43</v>
      </c>
      <c r="J71" t="str">
        <f>_xlfn.IFNA(VLOOKUP(C71,merchants!$A$2:$D$41,2,FALSE),"Merchant not found")</f>
        <v>Merchant_025</v>
      </c>
      <c r="K71" t="str">
        <f>_xlfn.IFNA(VLOOKUP(C71,merchants!$A$2:$D$41,3,FALSE),"Merchant not found")</f>
        <v>travel</v>
      </c>
      <c r="L71" t="str">
        <f>_xlfn.IFNA(VLOOKUP(C71,merchants!$A$2:$D$41,4,FALSE),"Merchant not found")</f>
        <v>South</v>
      </c>
      <c r="M71" s="2">
        <f>HLOOKUP(G71,Fees!$B$1:$E$2,2,FALSE)</f>
        <v>0</v>
      </c>
      <c r="N71" t="str">
        <f>IF(AND(K71&lt;&gt;"East",GETPIVOTDATA("amount_inr",'Daily Totals'!$A$4,"merchant_name",J71,"Days (transaction_time)",TEXT(D71,"dd-mmm"))&gt;5000),"High-Value Merchant Day", "Normal")</f>
        <v>Normal</v>
      </c>
    </row>
    <row r="72" spans="1:14" x14ac:dyDescent="0.3">
      <c r="A72" t="s">
        <v>85</v>
      </c>
      <c r="B72">
        <v>167</v>
      </c>
      <c r="C72">
        <v>12</v>
      </c>
      <c r="D72" s="1">
        <v>46023.662499999999</v>
      </c>
      <c r="E72" s="8">
        <f t="shared" si="1"/>
        <v>46023</v>
      </c>
      <c r="F72">
        <v>499</v>
      </c>
      <c r="G72" t="s">
        <v>9</v>
      </c>
      <c r="H72" t="s">
        <v>10</v>
      </c>
      <c r="I72">
        <v>62</v>
      </c>
      <c r="J72" t="str">
        <f>_xlfn.IFNA(VLOOKUP(C72,merchants!$A$2:$D$41,2,FALSE),"Merchant not found")</f>
        <v>Merchant_012</v>
      </c>
      <c r="K72" t="str">
        <f>_xlfn.IFNA(VLOOKUP(C72,merchants!$A$2:$D$41,3,FALSE),"Merchant not found")</f>
        <v>ecommerce</v>
      </c>
      <c r="L72" t="str">
        <f>_xlfn.IFNA(VLOOKUP(C72,merchants!$A$2:$D$41,4,FALSE),"Merchant not found")</f>
        <v>East</v>
      </c>
      <c r="M72" s="2">
        <f>HLOOKUP(G72,Fees!$B$1:$E$2,2,FALSE)</f>
        <v>1.4999999999999999E-2</v>
      </c>
      <c r="N72" t="str">
        <f>IF(AND(K72&lt;&gt;"East",GETPIVOTDATA("amount_inr",'Daily Totals'!$A$4,"merchant_name",J72,"Days (transaction_time)",TEXT(D72,"dd-mmm"))&gt;5000),"High-Value Merchant Day", "Normal")</f>
        <v>Normal</v>
      </c>
    </row>
    <row r="73" spans="1:14" x14ac:dyDescent="0.3">
      <c r="A73" t="s">
        <v>86</v>
      </c>
      <c r="B73">
        <v>133</v>
      </c>
      <c r="C73">
        <v>22</v>
      </c>
      <c r="D73" s="1">
        <v>46029.493750000001</v>
      </c>
      <c r="E73" s="8">
        <f t="shared" si="1"/>
        <v>46029</v>
      </c>
      <c r="F73">
        <v>499</v>
      </c>
      <c r="G73" t="s">
        <v>12</v>
      </c>
      <c r="H73" t="s">
        <v>10</v>
      </c>
      <c r="I73">
        <v>35</v>
      </c>
      <c r="J73" t="str">
        <f>_xlfn.IFNA(VLOOKUP(C73,merchants!$A$2:$D$41,2,FALSE),"Merchant not found")</f>
        <v>Merchant_022</v>
      </c>
      <c r="K73" t="str">
        <f>_xlfn.IFNA(VLOOKUP(C73,merchants!$A$2:$D$41,3,FALSE),"Merchant not found")</f>
        <v>travel</v>
      </c>
      <c r="L73" t="str">
        <f>_xlfn.IFNA(VLOOKUP(C73,merchants!$A$2:$D$41,4,FALSE),"Merchant not found")</f>
        <v>South</v>
      </c>
      <c r="M73" s="2">
        <f>HLOOKUP(G73,Fees!$B$1:$E$2,2,FALSE)</f>
        <v>0</v>
      </c>
      <c r="N73" t="str">
        <f>IF(AND(K73&lt;&gt;"East",GETPIVOTDATA("amount_inr",'Daily Totals'!$A$4,"merchant_name",J73,"Days (transaction_time)",TEXT(D73,"dd-mmm"))&gt;5000),"High-Value Merchant Day", "Normal")</f>
        <v>Normal</v>
      </c>
    </row>
    <row r="74" spans="1:14" x14ac:dyDescent="0.3">
      <c r="A74" t="s">
        <v>87</v>
      </c>
      <c r="B74">
        <v>142</v>
      </c>
      <c r="C74">
        <v>36</v>
      </c>
      <c r="D74" s="1">
        <v>46051.822222222225</v>
      </c>
      <c r="E74" s="8">
        <f t="shared" si="1"/>
        <v>46051</v>
      </c>
      <c r="F74">
        <v>799</v>
      </c>
      <c r="G74" t="s">
        <v>9</v>
      </c>
      <c r="H74" t="s">
        <v>10</v>
      </c>
      <c r="I74">
        <v>1</v>
      </c>
      <c r="J74" t="str">
        <f>_xlfn.IFNA(VLOOKUP(C74,merchants!$A$2:$D$41,2,FALSE),"Merchant not found")</f>
        <v>Merchant_036</v>
      </c>
      <c r="K74" t="str">
        <f>_xlfn.IFNA(VLOOKUP(C74,merchants!$A$2:$D$41,3,FALSE),"Merchant not found")</f>
        <v>entertainment</v>
      </c>
      <c r="L74" t="str">
        <f>_xlfn.IFNA(VLOOKUP(C74,merchants!$A$2:$D$41,4,FALSE),"Merchant not found")</f>
        <v>East</v>
      </c>
      <c r="M74" s="2">
        <f>HLOOKUP(G74,Fees!$B$1:$E$2,2,FALSE)</f>
        <v>1.4999999999999999E-2</v>
      </c>
      <c r="N74" t="str">
        <f>IF(AND(K74&lt;&gt;"East",GETPIVOTDATA("amount_inr",'Daily Totals'!$A$4,"merchant_name",J74,"Days (transaction_time)",TEXT(D74,"dd-mmm"))&gt;5000),"High-Value Merchant Day", "Normal")</f>
        <v>Normal</v>
      </c>
    </row>
    <row r="75" spans="1:14" x14ac:dyDescent="0.3">
      <c r="A75" t="s">
        <v>88</v>
      </c>
      <c r="B75">
        <v>124</v>
      </c>
      <c r="C75">
        <v>27</v>
      </c>
      <c r="D75" s="1">
        <v>46039.253472222219</v>
      </c>
      <c r="E75" s="8">
        <f t="shared" si="1"/>
        <v>46039</v>
      </c>
      <c r="F75">
        <v>499</v>
      </c>
      <c r="G75" t="s">
        <v>9</v>
      </c>
      <c r="H75" t="s">
        <v>10</v>
      </c>
      <c r="I75">
        <v>62</v>
      </c>
      <c r="J75" t="str">
        <f>_xlfn.IFNA(VLOOKUP(C75,merchants!$A$2:$D$41,2,FALSE),"Merchant not found")</f>
        <v>Merchant_027</v>
      </c>
      <c r="K75" t="str">
        <f>_xlfn.IFNA(VLOOKUP(C75,merchants!$A$2:$D$41,3,FALSE),"Merchant not found")</f>
        <v>ecommerce</v>
      </c>
      <c r="L75" t="str">
        <f>_xlfn.IFNA(VLOOKUP(C75,merchants!$A$2:$D$41,4,FALSE),"Merchant not found")</f>
        <v>North</v>
      </c>
      <c r="M75" s="2">
        <f>HLOOKUP(G75,Fees!$B$1:$E$2,2,FALSE)</f>
        <v>1.4999999999999999E-2</v>
      </c>
      <c r="N75" t="str">
        <f>IF(AND(K75&lt;&gt;"East",GETPIVOTDATA("amount_inr",'Daily Totals'!$A$4,"merchant_name",J75,"Days (transaction_time)",TEXT(D75,"dd-mmm"))&gt;5000),"High-Value Merchant Day", "Normal")</f>
        <v>Normal</v>
      </c>
    </row>
    <row r="76" spans="1:14" x14ac:dyDescent="0.3">
      <c r="A76" t="s">
        <v>89</v>
      </c>
      <c r="B76">
        <v>244</v>
      </c>
      <c r="C76">
        <v>32</v>
      </c>
      <c r="D76" s="1">
        <v>46040.322222222225</v>
      </c>
      <c r="E76" s="8">
        <f t="shared" si="1"/>
        <v>46040</v>
      </c>
      <c r="F76">
        <v>149</v>
      </c>
      <c r="G76" t="s">
        <v>12</v>
      </c>
      <c r="H76" t="s">
        <v>10</v>
      </c>
      <c r="I76">
        <v>57</v>
      </c>
      <c r="J76" t="str">
        <f>_xlfn.IFNA(VLOOKUP(C76,merchants!$A$2:$D$41,2,FALSE),"Merchant not found")</f>
        <v>Merchant_032</v>
      </c>
      <c r="K76" t="str">
        <f>_xlfn.IFNA(VLOOKUP(C76,merchants!$A$2:$D$41,3,FALSE),"Merchant not found")</f>
        <v>food_delivery</v>
      </c>
      <c r="L76" t="str">
        <f>_xlfn.IFNA(VLOOKUP(C76,merchants!$A$2:$D$41,4,FALSE),"Merchant not found")</f>
        <v>West</v>
      </c>
      <c r="M76" s="2">
        <f>HLOOKUP(G76,Fees!$B$1:$E$2,2,FALSE)</f>
        <v>0</v>
      </c>
      <c r="N76" t="str">
        <f>IF(AND(K76&lt;&gt;"East",GETPIVOTDATA("amount_inr",'Daily Totals'!$A$4,"merchant_name",J76,"Days (transaction_time)",TEXT(D76,"dd-mmm"))&gt;5000),"High-Value Merchant Day", "Normal")</f>
        <v>Normal</v>
      </c>
    </row>
    <row r="77" spans="1:14" x14ac:dyDescent="0.3">
      <c r="A77" t="s">
        <v>90</v>
      </c>
      <c r="B77">
        <v>151</v>
      </c>
      <c r="C77">
        <v>15</v>
      </c>
      <c r="D77" s="1">
        <v>46048.003472222219</v>
      </c>
      <c r="E77" s="8">
        <f t="shared" si="1"/>
        <v>46048</v>
      </c>
      <c r="F77">
        <v>4999</v>
      </c>
      <c r="G77" t="s">
        <v>12</v>
      </c>
      <c r="H77" t="s">
        <v>10</v>
      </c>
      <c r="I77">
        <v>51</v>
      </c>
      <c r="J77" t="str">
        <f>_xlfn.IFNA(VLOOKUP(C77,merchants!$A$2:$D$41,2,FALSE),"Merchant not found")</f>
        <v>Merchant_015</v>
      </c>
      <c r="K77" t="str">
        <f>_xlfn.IFNA(VLOOKUP(C77,merchants!$A$2:$D$41,3,FALSE),"Merchant not found")</f>
        <v>travel</v>
      </c>
      <c r="L77" t="str">
        <f>_xlfn.IFNA(VLOOKUP(C77,merchants!$A$2:$D$41,4,FALSE),"Merchant not found")</f>
        <v>North</v>
      </c>
      <c r="M77" s="2">
        <f>HLOOKUP(G77,Fees!$B$1:$E$2,2,FALSE)</f>
        <v>0</v>
      </c>
      <c r="N77" t="str">
        <f>IF(AND(K77&lt;&gt;"East",GETPIVOTDATA("amount_inr",'Daily Totals'!$A$4,"merchant_name",J77,"Days (transaction_time)",TEXT(D77,"dd-mmm"))&gt;5000),"High-Value Merchant Day", "Normal")</f>
        <v>Normal</v>
      </c>
    </row>
    <row r="78" spans="1:14" x14ac:dyDescent="0.3">
      <c r="A78" t="s">
        <v>91</v>
      </c>
      <c r="B78">
        <v>340</v>
      </c>
      <c r="C78">
        <v>38</v>
      </c>
      <c r="D78" s="1">
        <v>46045.304861111108</v>
      </c>
      <c r="E78" s="8">
        <f t="shared" si="1"/>
        <v>46045</v>
      </c>
      <c r="F78">
        <v>499</v>
      </c>
      <c r="G78" t="s">
        <v>24</v>
      </c>
      <c r="H78" t="s">
        <v>10</v>
      </c>
      <c r="I78">
        <v>47</v>
      </c>
      <c r="J78" t="str">
        <f>_xlfn.IFNA(VLOOKUP(C78,merchants!$A$2:$D$41,2,FALSE),"Merchant not found")</f>
        <v>Merchant_038</v>
      </c>
      <c r="K78" t="str">
        <f>_xlfn.IFNA(VLOOKUP(C78,merchants!$A$2:$D$41,3,FALSE),"Merchant not found")</f>
        <v>grocery</v>
      </c>
      <c r="L78" t="str">
        <f>_xlfn.IFNA(VLOOKUP(C78,merchants!$A$2:$D$41,4,FALSE),"Merchant not found")</f>
        <v>East</v>
      </c>
      <c r="M78" s="2">
        <f>HLOOKUP(G78,Fees!$B$1:$E$2,2,FALSE)</f>
        <v>0.02</v>
      </c>
      <c r="N78" t="str">
        <f>IF(AND(K78&lt;&gt;"East",GETPIVOTDATA("amount_inr",'Daily Totals'!$A$4,"merchant_name",J78,"Days (transaction_time)",TEXT(D78,"dd-mmm"))&gt;5000),"High-Value Merchant Day", "Normal")</f>
        <v>Normal</v>
      </c>
    </row>
    <row r="79" spans="1:14" x14ac:dyDescent="0.3">
      <c r="A79" t="s">
        <v>92</v>
      </c>
      <c r="B79">
        <v>177</v>
      </c>
      <c r="C79">
        <v>28</v>
      </c>
      <c r="D79" s="1">
        <v>46038.731249999997</v>
      </c>
      <c r="E79" s="8">
        <f t="shared" si="1"/>
        <v>46038</v>
      </c>
      <c r="F79">
        <v>299</v>
      </c>
      <c r="G79" t="s">
        <v>12</v>
      </c>
      <c r="H79" t="s">
        <v>10</v>
      </c>
      <c r="I79">
        <v>95</v>
      </c>
      <c r="J79" t="str">
        <f>_xlfn.IFNA(VLOOKUP(C79,merchants!$A$2:$D$41,2,FALSE),"Merchant not found")</f>
        <v>Merchant_028</v>
      </c>
      <c r="K79" t="str">
        <f>_xlfn.IFNA(VLOOKUP(C79,merchants!$A$2:$D$41,3,FALSE),"Merchant not found")</f>
        <v>ecommerce</v>
      </c>
      <c r="L79" t="str">
        <f>_xlfn.IFNA(VLOOKUP(C79,merchants!$A$2:$D$41,4,FALSE),"Merchant not found")</f>
        <v>South</v>
      </c>
      <c r="M79" s="2">
        <f>HLOOKUP(G79,Fees!$B$1:$E$2,2,FALSE)</f>
        <v>0</v>
      </c>
      <c r="N79" t="str">
        <f>IF(AND(K79&lt;&gt;"East",GETPIVOTDATA("amount_inr",'Daily Totals'!$A$4,"merchant_name",J79,"Days (transaction_time)",TEXT(D79,"dd-mmm"))&gt;5000),"High-Value Merchant Day", "Normal")</f>
        <v>Normal</v>
      </c>
    </row>
    <row r="80" spans="1:14" x14ac:dyDescent="0.3">
      <c r="A80" t="s">
        <v>93</v>
      </c>
      <c r="B80">
        <v>233</v>
      </c>
      <c r="C80">
        <v>18</v>
      </c>
      <c r="D80" s="1">
        <v>46040.431944444441</v>
      </c>
      <c r="E80" s="8">
        <f t="shared" si="1"/>
        <v>46040</v>
      </c>
      <c r="F80">
        <v>499</v>
      </c>
      <c r="G80" t="s">
        <v>12</v>
      </c>
      <c r="H80" t="s">
        <v>10</v>
      </c>
      <c r="I80">
        <v>39</v>
      </c>
      <c r="J80" t="str">
        <f>_xlfn.IFNA(VLOOKUP(C80,merchants!$A$2:$D$41,2,FALSE),"Merchant not found")</f>
        <v>Merchant_018</v>
      </c>
      <c r="K80" t="str">
        <f>_xlfn.IFNA(VLOOKUP(C80,merchants!$A$2:$D$41,3,FALSE),"Merchant not found")</f>
        <v>grocery</v>
      </c>
      <c r="L80" t="str">
        <f>_xlfn.IFNA(VLOOKUP(C80,merchants!$A$2:$D$41,4,FALSE),"Merchant not found")</f>
        <v>West</v>
      </c>
      <c r="M80" s="2">
        <f>HLOOKUP(G80,Fees!$B$1:$E$2,2,FALSE)</f>
        <v>0</v>
      </c>
      <c r="N80" t="str">
        <f>IF(AND(K80&lt;&gt;"East",GETPIVOTDATA("amount_inr",'Daily Totals'!$A$4,"merchant_name",J80,"Days (transaction_time)",TEXT(D80,"dd-mmm"))&gt;5000),"High-Value Merchant Day", "Normal")</f>
        <v>Normal</v>
      </c>
    </row>
    <row r="81" spans="1:14" x14ac:dyDescent="0.3">
      <c r="A81" t="s">
        <v>94</v>
      </c>
      <c r="B81">
        <v>99</v>
      </c>
      <c r="C81">
        <v>21</v>
      </c>
      <c r="D81" s="1">
        <v>46031.296527777777</v>
      </c>
      <c r="E81" s="8">
        <f t="shared" si="1"/>
        <v>46031</v>
      </c>
      <c r="F81">
        <v>499</v>
      </c>
      <c r="G81" t="s">
        <v>12</v>
      </c>
      <c r="H81" t="s">
        <v>10</v>
      </c>
      <c r="I81">
        <v>15</v>
      </c>
      <c r="J81" t="str">
        <f>_xlfn.IFNA(VLOOKUP(C81,merchants!$A$2:$D$41,2,FALSE),"Merchant not found")</f>
        <v>Merchant_021</v>
      </c>
      <c r="K81" t="str">
        <f>_xlfn.IFNA(VLOOKUP(C81,merchants!$A$2:$D$41,3,FALSE),"Merchant not found")</f>
        <v>food_delivery</v>
      </c>
      <c r="L81" t="str">
        <f>_xlfn.IFNA(VLOOKUP(C81,merchants!$A$2:$D$41,4,FALSE),"Merchant not found")</f>
        <v>East</v>
      </c>
      <c r="M81" s="2">
        <f>HLOOKUP(G81,Fees!$B$1:$E$2,2,FALSE)</f>
        <v>0</v>
      </c>
      <c r="N81" t="str">
        <f>IF(AND(K81&lt;&gt;"East",GETPIVOTDATA("amount_inr",'Daily Totals'!$A$4,"merchant_name",J81,"Days (transaction_time)",TEXT(D81,"dd-mmm"))&gt;5000),"High-Value Merchant Day", "Normal")</f>
        <v>Normal</v>
      </c>
    </row>
    <row r="82" spans="1:14" x14ac:dyDescent="0.3">
      <c r="A82" t="s">
        <v>95</v>
      </c>
      <c r="B82">
        <v>95</v>
      </c>
      <c r="C82">
        <v>13</v>
      </c>
      <c r="D82" s="1">
        <v>46046.741666666669</v>
      </c>
      <c r="E82" s="8">
        <f t="shared" si="1"/>
        <v>46046</v>
      </c>
      <c r="F82">
        <v>2999</v>
      </c>
      <c r="G82" t="s">
        <v>15</v>
      </c>
      <c r="H82" t="s">
        <v>25</v>
      </c>
      <c r="I82">
        <v>27</v>
      </c>
      <c r="J82" t="str">
        <f>_xlfn.IFNA(VLOOKUP(C82,merchants!$A$2:$D$41,2,FALSE),"Merchant not found")</f>
        <v>Merchant_013</v>
      </c>
      <c r="K82" t="str">
        <f>_xlfn.IFNA(VLOOKUP(C82,merchants!$A$2:$D$41,3,FALSE),"Merchant not found")</f>
        <v>travel</v>
      </c>
      <c r="L82" t="str">
        <f>_xlfn.IFNA(VLOOKUP(C82,merchants!$A$2:$D$41,4,FALSE),"Merchant not found")</f>
        <v>East</v>
      </c>
      <c r="M82" s="2">
        <f>HLOOKUP(G82,Fees!$B$1:$E$2,2,FALSE)</f>
        <v>0.01</v>
      </c>
      <c r="N82" t="str">
        <f>IF(AND(K82&lt;&gt;"East",GETPIVOTDATA("amount_inr",'Daily Totals'!$A$4,"merchant_name",J82,"Days (transaction_time)",TEXT(D82,"dd-mmm"))&gt;5000),"High-Value Merchant Day", "Normal")</f>
        <v>Normal</v>
      </c>
    </row>
    <row r="83" spans="1:14" x14ac:dyDescent="0.3">
      <c r="A83" t="s">
        <v>96</v>
      </c>
      <c r="B83">
        <v>302</v>
      </c>
      <c r="C83">
        <v>34</v>
      </c>
      <c r="D83" s="1">
        <v>46046.636805555558</v>
      </c>
      <c r="E83" s="8">
        <f t="shared" si="1"/>
        <v>46046</v>
      </c>
      <c r="F83">
        <v>49</v>
      </c>
      <c r="G83" t="s">
        <v>15</v>
      </c>
      <c r="H83" t="s">
        <v>10</v>
      </c>
      <c r="I83">
        <v>76</v>
      </c>
      <c r="J83" t="str">
        <f>_xlfn.IFNA(VLOOKUP(C83,merchants!$A$2:$D$41,2,FALSE),"Merchant not found")</f>
        <v>Merchant_034</v>
      </c>
      <c r="K83" t="str">
        <f>_xlfn.IFNA(VLOOKUP(C83,merchants!$A$2:$D$41,3,FALSE),"Merchant not found")</f>
        <v>travel</v>
      </c>
      <c r="L83" t="str">
        <f>_xlfn.IFNA(VLOOKUP(C83,merchants!$A$2:$D$41,4,FALSE),"Merchant not found")</f>
        <v>South</v>
      </c>
      <c r="M83" s="2">
        <f>HLOOKUP(G83,Fees!$B$1:$E$2,2,FALSE)</f>
        <v>0.01</v>
      </c>
      <c r="N83" t="str">
        <f>IF(AND(K83&lt;&gt;"East",GETPIVOTDATA("amount_inr",'Daily Totals'!$A$4,"merchant_name",J83,"Days (transaction_time)",TEXT(D83,"dd-mmm"))&gt;5000),"High-Value Merchant Day", "Normal")</f>
        <v>Normal</v>
      </c>
    </row>
    <row r="84" spans="1:14" x14ac:dyDescent="0.3">
      <c r="A84" t="s">
        <v>97</v>
      </c>
      <c r="B84">
        <v>100</v>
      </c>
      <c r="C84">
        <v>19</v>
      </c>
      <c r="D84" s="1">
        <v>46032.161805555559</v>
      </c>
      <c r="E84" s="8">
        <f t="shared" si="1"/>
        <v>46032</v>
      </c>
      <c r="F84">
        <v>2999</v>
      </c>
      <c r="G84" t="s">
        <v>15</v>
      </c>
      <c r="H84" t="s">
        <v>10</v>
      </c>
      <c r="I84">
        <v>29</v>
      </c>
      <c r="J84" t="str">
        <f>_xlfn.IFNA(VLOOKUP(C84,merchants!$A$2:$D$41,2,FALSE),"Merchant not found")</f>
        <v>Merchant_019</v>
      </c>
      <c r="K84" t="str">
        <f>_xlfn.IFNA(VLOOKUP(C84,merchants!$A$2:$D$41,3,FALSE),"Merchant not found")</f>
        <v>grocery</v>
      </c>
      <c r="L84" t="str">
        <f>_xlfn.IFNA(VLOOKUP(C84,merchants!$A$2:$D$41,4,FALSE),"Merchant not found")</f>
        <v>North</v>
      </c>
      <c r="M84" s="2">
        <f>HLOOKUP(G84,Fees!$B$1:$E$2,2,FALSE)</f>
        <v>0.01</v>
      </c>
      <c r="N84" t="str">
        <f>IF(AND(K84&lt;&gt;"East",GETPIVOTDATA("amount_inr",'Daily Totals'!$A$4,"merchant_name",J84,"Days (transaction_time)",TEXT(D84,"dd-mmm"))&gt;5000),"High-Value Merchant Day", "Normal")</f>
        <v>Normal</v>
      </c>
    </row>
    <row r="85" spans="1:14" x14ac:dyDescent="0.3">
      <c r="A85" t="s">
        <v>98</v>
      </c>
      <c r="B85">
        <v>8</v>
      </c>
      <c r="C85">
        <v>35</v>
      </c>
      <c r="D85" s="1">
        <v>46034.22152777778</v>
      </c>
      <c r="E85" s="8">
        <f t="shared" si="1"/>
        <v>46034</v>
      </c>
      <c r="F85">
        <v>99</v>
      </c>
      <c r="G85" t="s">
        <v>12</v>
      </c>
      <c r="H85" t="s">
        <v>10</v>
      </c>
      <c r="I85">
        <v>16</v>
      </c>
      <c r="J85" t="str">
        <f>_xlfn.IFNA(VLOOKUP(C85,merchants!$A$2:$D$41,2,FALSE),"Merchant not found")</f>
        <v>Merchant_035</v>
      </c>
      <c r="K85" t="str">
        <f>_xlfn.IFNA(VLOOKUP(C85,merchants!$A$2:$D$41,3,FALSE),"Merchant not found")</f>
        <v>recharge</v>
      </c>
      <c r="L85" t="str">
        <f>_xlfn.IFNA(VLOOKUP(C85,merchants!$A$2:$D$41,4,FALSE),"Merchant not found")</f>
        <v>East</v>
      </c>
      <c r="M85" s="2">
        <f>HLOOKUP(G85,Fees!$B$1:$E$2,2,FALSE)</f>
        <v>0</v>
      </c>
      <c r="N85" t="str">
        <f>IF(AND(K85&lt;&gt;"East",GETPIVOTDATA("amount_inr",'Daily Totals'!$A$4,"merchant_name",J85,"Days (transaction_time)",TEXT(D85,"dd-mmm"))&gt;5000),"High-Value Merchant Day", "Normal")</f>
        <v>Normal</v>
      </c>
    </row>
    <row r="86" spans="1:14" x14ac:dyDescent="0.3">
      <c r="A86" t="s">
        <v>99</v>
      </c>
      <c r="B86">
        <v>284</v>
      </c>
      <c r="C86">
        <v>19</v>
      </c>
      <c r="D86" s="1">
        <v>46031.043749999997</v>
      </c>
      <c r="E86" s="8">
        <f t="shared" si="1"/>
        <v>46031</v>
      </c>
      <c r="F86">
        <v>99</v>
      </c>
      <c r="G86" t="s">
        <v>12</v>
      </c>
      <c r="H86" t="s">
        <v>10</v>
      </c>
      <c r="I86">
        <v>89</v>
      </c>
      <c r="J86" t="str">
        <f>_xlfn.IFNA(VLOOKUP(C86,merchants!$A$2:$D$41,2,FALSE),"Merchant not found")</f>
        <v>Merchant_019</v>
      </c>
      <c r="K86" t="str">
        <f>_xlfn.IFNA(VLOOKUP(C86,merchants!$A$2:$D$41,3,FALSE),"Merchant not found")</f>
        <v>grocery</v>
      </c>
      <c r="L86" t="str">
        <f>_xlfn.IFNA(VLOOKUP(C86,merchants!$A$2:$D$41,4,FALSE),"Merchant not found")</f>
        <v>North</v>
      </c>
      <c r="M86" s="2">
        <f>HLOOKUP(G86,Fees!$B$1:$E$2,2,FALSE)</f>
        <v>0</v>
      </c>
      <c r="N86" t="str">
        <f>IF(AND(K86&lt;&gt;"East",GETPIVOTDATA("amount_inr",'Daily Totals'!$A$4,"merchant_name",J86,"Days (transaction_time)",TEXT(D86,"dd-mmm"))&gt;5000),"High-Value Merchant Day", "Normal")</f>
        <v>Normal</v>
      </c>
    </row>
    <row r="87" spans="1:14" x14ac:dyDescent="0.3">
      <c r="A87" t="s">
        <v>100</v>
      </c>
      <c r="B87">
        <v>252</v>
      </c>
      <c r="C87">
        <v>7</v>
      </c>
      <c r="D87" s="1">
        <v>46027.871527777781</v>
      </c>
      <c r="E87" s="8">
        <f t="shared" si="1"/>
        <v>46027</v>
      </c>
      <c r="F87">
        <v>2999</v>
      </c>
      <c r="G87" t="s">
        <v>9</v>
      </c>
      <c r="H87" t="s">
        <v>10</v>
      </c>
      <c r="I87">
        <v>1</v>
      </c>
      <c r="J87" t="str">
        <f>_xlfn.IFNA(VLOOKUP(C87,merchants!$A$2:$D$41,2,FALSE),"Merchant not found")</f>
        <v>Merchant_007</v>
      </c>
      <c r="K87" t="str">
        <f>_xlfn.IFNA(VLOOKUP(C87,merchants!$A$2:$D$41,3,FALSE),"Merchant not found")</f>
        <v>food_delivery</v>
      </c>
      <c r="L87" t="str">
        <f>_xlfn.IFNA(VLOOKUP(C87,merchants!$A$2:$D$41,4,FALSE),"Merchant not found")</f>
        <v>East</v>
      </c>
      <c r="M87" s="2">
        <f>HLOOKUP(G87,Fees!$B$1:$E$2,2,FALSE)</f>
        <v>1.4999999999999999E-2</v>
      </c>
      <c r="N87" t="str">
        <f>IF(AND(K87&lt;&gt;"East",GETPIVOTDATA("amount_inr",'Daily Totals'!$A$4,"merchant_name",J87,"Days (transaction_time)",TEXT(D87,"dd-mmm"))&gt;5000),"High-Value Merchant Day", "Normal")</f>
        <v>Normal</v>
      </c>
    </row>
    <row r="88" spans="1:14" x14ac:dyDescent="0.3">
      <c r="A88" t="s">
        <v>101</v>
      </c>
      <c r="B88">
        <v>246</v>
      </c>
      <c r="C88">
        <v>29</v>
      </c>
      <c r="D88" s="1">
        <v>46041.395833333336</v>
      </c>
      <c r="E88" s="8">
        <f t="shared" si="1"/>
        <v>46041</v>
      </c>
      <c r="F88">
        <v>49</v>
      </c>
      <c r="G88" t="s">
        <v>9</v>
      </c>
      <c r="H88" t="s">
        <v>10</v>
      </c>
      <c r="I88">
        <v>43</v>
      </c>
      <c r="J88" t="str">
        <f>_xlfn.IFNA(VLOOKUP(C88,merchants!$A$2:$D$41,2,FALSE),"Merchant not found")</f>
        <v>Merchant_029</v>
      </c>
      <c r="K88" t="str">
        <f>_xlfn.IFNA(VLOOKUP(C88,merchants!$A$2:$D$41,3,FALSE),"Merchant not found")</f>
        <v>ecommerce</v>
      </c>
      <c r="L88" t="str">
        <f>_xlfn.IFNA(VLOOKUP(C88,merchants!$A$2:$D$41,4,FALSE),"Merchant not found")</f>
        <v>North</v>
      </c>
      <c r="M88" s="2">
        <f>HLOOKUP(G88,Fees!$B$1:$E$2,2,FALSE)</f>
        <v>1.4999999999999999E-2</v>
      </c>
      <c r="N88" t="str">
        <f>IF(AND(K88&lt;&gt;"East",GETPIVOTDATA("amount_inr",'Daily Totals'!$A$4,"merchant_name",J88,"Days (transaction_time)",TEXT(D88,"dd-mmm"))&gt;5000),"High-Value Merchant Day", "Normal")</f>
        <v>Normal</v>
      </c>
    </row>
    <row r="89" spans="1:14" x14ac:dyDescent="0.3">
      <c r="A89" t="s">
        <v>102</v>
      </c>
      <c r="B89">
        <v>245</v>
      </c>
      <c r="C89">
        <v>8</v>
      </c>
      <c r="D89" s="1">
        <v>46028.052777777775</v>
      </c>
      <c r="E89" s="8">
        <f t="shared" si="1"/>
        <v>46028</v>
      </c>
      <c r="F89">
        <v>49</v>
      </c>
      <c r="G89" t="s">
        <v>12</v>
      </c>
      <c r="H89" t="s">
        <v>38</v>
      </c>
      <c r="I89">
        <v>8</v>
      </c>
      <c r="J89" t="str">
        <f>_xlfn.IFNA(VLOOKUP(C89,merchants!$A$2:$D$41,2,FALSE),"Merchant not found")</f>
        <v>Merchant_008</v>
      </c>
      <c r="K89" t="str">
        <f>_xlfn.IFNA(VLOOKUP(C89,merchants!$A$2:$D$41,3,FALSE),"Merchant not found")</f>
        <v>food_delivery</v>
      </c>
      <c r="L89" t="str">
        <f>_xlfn.IFNA(VLOOKUP(C89,merchants!$A$2:$D$41,4,FALSE),"Merchant not found")</f>
        <v>North</v>
      </c>
      <c r="M89" s="2">
        <f>HLOOKUP(G89,Fees!$B$1:$E$2,2,FALSE)</f>
        <v>0</v>
      </c>
      <c r="N89" t="str">
        <f>IF(AND(K89&lt;&gt;"East",GETPIVOTDATA("amount_inr",'Daily Totals'!$A$4,"merchant_name",J89,"Days (transaction_time)",TEXT(D89,"dd-mmm"))&gt;5000),"High-Value Merchant Day", "Normal")</f>
        <v>Normal</v>
      </c>
    </row>
    <row r="90" spans="1:14" x14ac:dyDescent="0.3">
      <c r="A90" t="s">
        <v>103</v>
      </c>
      <c r="B90">
        <v>296</v>
      </c>
      <c r="C90">
        <v>4</v>
      </c>
      <c r="D90" s="1">
        <v>46035.62777777778</v>
      </c>
      <c r="E90" s="8">
        <f t="shared" si="1"/>
        <v>46035</v>
      </c>
      <c r="F90">
        <v>799</v>
      </c>
      <c r="G90" t="s">
        <v>9</v>
      </c>
      <c r="H90" t="s">
        <v>10</v>
      </c>
      <c r="I90">
        <v>19</v>
      </c>
      <c r="J90" t="str">
        <f>_xlfn.IFNA(VLOOKUP(C90,merchants!$A$2:$D$41,2,FALSE),"Merchant not found")</f>
        <v>Merchant_004</v>
      </c>
      <c r="K90" t="str">
        <f>_xlfn.IFNA(VLOOKUP(C90,merchants!$A$2:$D$41,3,FALSE),"Merchant not found")</f>
        <v>ecommerce</v>
      </c>
      <c r="L90" t="str">
        <f>_xlfn.IFNA(VLOOKUP(C90,merchants!$A$2:$D$41,4,FALSE),"Merchant not found")</f>
        <v>East</v>
      </c>
      <c r="M90" s="2">
        <f>HLOOKUP(G90,Fees!$B$1:$E$2,2,FALSE)</f>
        <v>1.4999999999999999E-2</v>
      </c>
      <c r="N90" t="str">
        <f>IF(AND(K90&lt;&gt;"East",GETPIVOTDATA("amount_inr",'Daily Totals'!$A$4,"merchant_name",J90,"Days (transaction_time)",TEXT(D90,"dd-mmm"))&gt;5000),"High-Value Merchant Day", "Normal")</f>
        <v>Normal</v>
      </c>
    </row>
    <row r="91" spans="1:14" x14ac:dyDescent="0.3">
      <c r="A91" t="s">
        <v>104</v>
      </c>
      <c r="B91">
        <v>44</v>
      </c>
      <c r="C91">
        <v>16</v>
      </c>
      <c r="D91" s="1">
        <v>46027.763194444444</v>
      </c>
      <c r="E91" s="8">
        <f t="shared" si="1"/>
        <v>46027</v>
      </c>
      <c r="F91">
        <v>149</v>
      </c>
      <c r="G91" t="s">
        <v>12</v>
      </c>
      <c r="H91" t="s">
        <v>10</v>
      </c>
      <c r="I91">
        <v>15</v>
      </c>
      <c r="J91" t="str">
        <f>_xlfn.IFNA(VLOOKUP(C91,merchants!$A$2:$D$41,2,FALSE),"Merchant not found")</f>
        <v>Merchant_016</v>
      </c>
      <c r="K91" t="str">
        <f>_xlfn.IFNA(VLOOKUP(C91,merchants!$A$2:$D$41,3,FALSE),"Merchant not found")</f>
        <v>bill_payment</v>
      </c>
      <c r="L91" t="str">
        <f>_xlfn.IFNA(VLOOKUP(C91,merchants!$A$2:$D$41,4,FALSE),"Merchant not found")</f>
        <v>West</v>
      </c>
      <c r="M91" s="2">
        <f>HLOOKUP(G91,Fees!$B$1:$E$2,2,FALSE)</f>
        <v>0</v>
      </c>
      <c r="N91" t="str">
        <f>IF(AND(K91&lt;&gt;"East",GETPIVOTDATA("amount_inr",'Daily Totals'!$A$4,"merchant_name",J91,"Days (transaction_time)",TEXT(D91,"dd-mmm"))&gt;5000),"High-Value Merchant Day", "Normal")</f>
        <v>Normal</v>
      </c>
    </row>
    <row r="92" spans="1:14" x14ac:dyDescent="0.3">
      <c r="A92" t="s">
        <v>105</v>
      </c>
      <c r="B92">
        <v>306</v>
      </c>
      <c r="C92">
        <v>40</v>
      </c>
      <c r="D92" s="1">
        <v>46040.568055555559</v>
      </c>
      <c r="E92" s="8">
        <f t="shared" si="1"/>
        <v>46040</v>
      </c>
      <c r="F92">
        <v>799</v>
      </c>
      <c r="G92" t="s">
        <v>24</v>
      </c>
      <c r="H92" t="s">
        <v>10</v>
      </c>
      <c r="I92">
        <v>28</v>
      </c>
      <c r="J92" t="str">
        <f>_xlfn.IFNA(VLOOKUP(C92,merchants!$A$2:$D$41,2,FALSE),"Merchant not found")</f>
        <v>Merchant_040</v>
      </c>
      <c r="K92" t="str">
        <f>_xlfn.IFNA(VLOOKUP(C92,merchants!$A$2:$D$41,3,FALSE),"Merchant not found")</f>
        <v>entertainment</v>
      </c>
      <c r="L92" t="str">
        <f>_xlfn.IFNA(VLOOKUP(C92,merchants!$A$2:$D$41,4,FALSE),"Merchant not found")</f>
        <v>South</v>
      </c>
      <c r="M92" s="2">
        <f>HLOOKUP(G92,Fees!$B$1:$E$2,2,FALSE)</f>
        <v>0.02</v>
      </c>
      <c r="N92" t="str">
        <f>IF(AND(K92&lt;&gt;"East",GETPIVOTDATA("amount_inr",'Daily Totals'!$A$4,"merchant_name",J92,"Days (transaction_time)",TEXT(D92,"dd-mmm"))&gt;5000),"High-Value Merchant Day", "Normal")</f>
        <v>Normal</v>
      </c>
    </row>
    <row r="93" spans="1:14" x14ac:dyDescent="0.3">
      <c r="A93" t="s">
        <v>106</v>
      </c>
      <c r="B93">
        <v>231</v>
      </c>
      <c r="C93">
        <v>29</v>
      </c>
      <c r="D93" s="1">
        <v>46047.683333333334</v>
      </c>
      <c r="E93" s="8">
        <f t="shared" si="1"/>
        <v>46047</v>
      </c>
      <c r="F93">
        <v>299</v>
      </c>
      <c r="G93" t="s">
        <v>12</v>
      </c>
      <c r="H93" t="s">
        <v>10</v>
      </c>
      <c r="I93">
        <v>38</v>
      </c>
      <c r="J93" t="str">
        <f>_xlfn.IFNA(VLOOKUP(C93,merchants!$A$2:$D$41,2,FALSE),"Merchant not found")</f>
        <v>Merchant_029</v>
      </c>
      <c r="K93" t="str">
        <f>_xlfn.IFNA(VLOOKUP(C93,merchants!$A$2:$D$41,3,FALSE),"Merchant not found")</f>
        <v>ecommerce</v>
      </c>
      <c r="L93" t="str">
        <f>_xlfn.IFNA(VLOOKUP(C93,merchants!$A$2:$D$41,4,FALSE),"Merchant not found")</f>
        <v>North</v>
      </c>
      <c r="M93" s="2">
        <f>HLOOKUP(G93,Fees!$B$1:$E$2,2,FALSE)</f>
        <v>0</v>
      </c>
      <c r="N93" t="str">
        <f>IF(AND(K93&lt;&gt;"East",GETPIVOTDATA("amount_inr",'Daily Totals'!$A$4,"merchant_name",J93,"Days (transaction_time)",TEXT(D93,"dd-mmm"))&gt;5000),"High-Value Merchant Day", "Normal")</f>
        <v>Normal</v>
      </c>
    </row>
    <row r="94" spans="1:14" x14ac:dyDescent="0.3">
      <c r="A94" t="s">
        <v>107</v>
      </c>
      <c r="B94">
        <v>157</v>
      </c>
      <c r="C94">
        <v>37</v>
      </c>
      <c r="D94" s="1">
        <v>46050.768750000003</v>
      </c>
      <c r="E94" s="8">
        <f t="shared" si="1"/>
        <v>46050</v>
      </c>
      <c r="F94">
        <v>499</v>
      </c>
      <c r="G94" t="s">
        <v>9</v>
      </c>
      <c r="H94" t="s">
        <v>10</v>
      </c>
      <c r="I94">
        <v>79</v>
      </c>
      <c r="J94" t="str">
        <f>_xlfn.IFNA(VLOOKUP(C94,merchants!$A$2:$D$41,2,FALSE),"Merchant not found")</f>
        <v>Merchant_037</v>
      </c>
      <c r="K94" t="str">
        <f>_xlfn.IFNA(VLOOKUP(C94,merchants!$A$2:$D$41,3,FALSE),"Merchant not found")</f>
        <v>entertainment</v>
      </c>
      <c r="L94" t="str">
        <f>_xlfn.IFNA(VLOOKUP(C94,merchants!$A$2:$D$41,4,FALSE),"Merchant not found")</f>
        <v>South</v>
      </c>
      <c r="M94" s="2">
        <f>HLOOKUP(G94,Fees!$B$1:$E$2,2,FALSE)</f>
        <v>1.4999999999999999E-2</v>
      </c>
      <c r="N94" t="str">
        <f>IF(AND(K94&lt;&gt;"East",GETPIVOTDATA("amount_inr",'Daily Totals'!$A$4,"merchant_name",J94,"Days (transaction_time)",TEXT(D94,"dd-mmm"))&gt;5000),"High-Value Merchant Day", "Normal")</f>
        <v>Normal</v>
      </c>
    </row>
    <row r="95" spans="1:14" x14ac:dyDescent="0.3">
      <c r="A95" t="s">
        <v>108</v>
      </c>
      <c r="B95">
        <v>51</v>
      </c>
      <c r="C95">
        <v>14</v>
      </c>
      <c r="D95" s="1">
        <v>46024.824305555558</v>
      </c>
      <c r="E95" s="8">
        <f t="shared" si="1"/>
        <v>46024</v>
      </c>
      <c r="F95">
        <v>1499</v>
      </c>
      <c r="G95" t="s">
        <v>12</v>
      </c>
      <c r="H95" t="s">
        <v>10</v>
      </c>
      <c r="I95">
        <v>80</v>
      </c>
      <c r="J95" t="str">
        <f>_xlfn.IFNA(VLOOKUP(C95,merchants!$A$2:$D$41,2,FALSE),"Merchant not found")</f>
        <v>Merchant_014</v>
      </c>
      <c r="K95" t="str">
        <f>_xlfn.IFNA(VLOOKUP(C95,merchants!$A$2:$D$41,3,FALSE),"Merchant not found")</f>
        <v>grocery</v>
      </c>
      <c r="L95" t="str">
        <f>_xlfn.IFNA(VLOOKUP(C95,merchants!$A$2:$D$41,4,FALSE),"Merchant not found")</f>
        <v>East</v>
      </c>
      <c r="M95" s="2">
        <f>HLOOKUP(G95,Fees!$B$1:$E$2,2,FALSE)</f>
        <v>0</v>
      </c>
      <c r="N95" t="str">
        <f>IF(AND(K95&lt;&gt;"East",GETPIVOTDATA("amount_inr",'Daily Totals'!$A$4,"merchant_name",J95,"Days (transaction_time)",TEXT(D95,"dd-mmm"))&gt;5000),"High-Value Merchant Day", "Normal")</f>
        <v>Normal</v>
      </c>
    </row>
    <row r="96" spans="1:14" x14ac:dyDescent="0.3">
      <c r="A96" t="s">
        <v>109</v>
      </c>
      <c r="B96">
        <v>42</v>
      </c>
      <c r="C96">
        <v>11</v>
      </c>
      <c r="D96" s="1">
        <v>46029.362500000003</v>
      </c>
      <c r="E96" s="8">
        <f t="shared" si="1"/>
        <v>46029</v>
      </c>
      <c r="F96">
        <v>49</v>
      </c>
      <c r="G96" t="s">
        <v>9</v>
      </c>
      <c r="H96" t="s">
        <v>10</v>
      </c>
      <c r="I96">
        <v>30</v>
      </c>
      <c r="J96" t="str">
        <f>_xlfn.IFNA(VLOOKUP(C96,merchants!$A$2:$D$41,2,FALSE),"Merchant not found")</f>
        <v>Merchant_011</v>
      </c>
      <c r="K96" t="str">
        <f>_xlfn.IFNA(VLOOKUP(C96,merchants!$A$2:$D$41,3,FALSE),"Merchant not found")</f>
        <v>ecommerce</v>
      </c>
      <c r="L96" t="str">
        <f>_xlfn.IFNA(VLOOKUP(C96,merchants!$A$2:$D$41,4,FALSE),"Merchant not found")</f>
        <v>North</v>
      </c>
      <c r="M96" s="2">
        <f>HLOOKUP(G96,Fees!$B$1:$E$2,2,FALSE)</f>
        <v>1.4999999999999999E-2</v>
      </c>
      <c r="N96" t="str">
        <f>IF(AND(K96&lt;&gt;"East",GETPIVOTDATA("amount_inr",'Daily Totals'!$A$4,"merchant_name",J96,"Days (transaction_time)",TEXT(D96,"dd-mmm"))&gt;5000),"High-Value Merchant Day", "Normal")</f>
        <v>Normal</v>
      </c>
    </row>
    <row r="97" spans="1:14" x14ac:dyDescent="0.3">
      <c r="A97" t="s">
        <v>110</v>
      </c>
      <c r="B97">
        <v>81</v>
      </c>
      <c r="C97">
        <v>1</v>
      </c>
      <c r="D97" s="1">
        <v>46028.711111111108</v>
      </c>
      <c r="E97" s="8">
        <f t="shared" si="1"/>
        <v>46028</v>
      </c>
      <c r="F97">
        <v>149</v>
      </c>
      <c r="G97" t="s">
        <v>12</v>
      </c>
      <c r="H97" t="s">
        <v>10</v>
      </c>
      <c r="I97">
        <v>52</v>
      </c>
      <c r="J97" t="str">
        <f>_xlfn.IFNA(VLOOKUP(C97,merchants!$A$2:$D$41,2,FALSE),"Merchant not found")</f>
        <v>Merchant_001</v>
      </c>
      <c r="K97" t="str">
        <f>_xlfn.IFNA(VLOOKUP(C97,merchants!$A$2:$D$41,3,FALSE),"Merchant not found")</f>
        <v>ecommerce</v>
      </c>
      <c r="L97" t="str">
        <f>_xlfn.IFNA(VLOOKUP(C97,merchants!$A$2:$D$41,4,FALSE),"Merchant not found")</f>
        <v>South</v>
      </c>
      <c r="M97" s="2">
        <f>HLOOKUP(G97,Fees!$B$1:$E$2,2,FALSE)</f>
        <v>0</v>
      </c>
      <c r="N97" t="str">
        <f>IF(AND(K97&lt;&gt;"East",GETPIVOTDATA("amount_inr",'Daily Totals'!$A$4,"merchant_name",J97,"Days (transaction_time)",TEXT(D97,"dd-mmm"))&gt;5000),"High-Value Merchant Day", "Normal")</f>
        <v>Normal</v>
      </c>
    </row>
    <row r="98" spans="1:14" x14ac:dyDescent="0.3">
      <c r="A98" t="s">
        <v>111</v>
      </c>
      <c r="B98">
        <v>241</v>
      </c>
      <c r="C98">
        <v>19</v>
      </c>
      <c r="D98" s="1">
        <v>46037.943055555559</v>
      </c>
      <c r="E98" s="8">
        <f t="shared" si="1"/>
        <v>46037</v>
      </c>
      <c r="F98">
        <v>299</v>
      </c>
      <c r="G98" t="s">
        <v>12</v>
      </c>
      <c r="H98" t="s">
        <v>10</v>
      </c>
      <c r="I98">
        <v>4</v>
      </c>
      <c r="J98" t="str">
        <f>_xlfn.IFNA(VLOOKUP(C98,merchants!$A$2:$D$41,2,FALSE),"Merchant not found")</f>
        <v>Merchant_019</v>
      </c>
      <c r="K98" t="str">
        <f>_xlfn.IFNA(VLOOKUP(C98,merchants!$A$2:$D$41,3,FALSE),"Merchant not found")</f>
        <v>grocery</v>
      </c>
      <c r="L98" t="str">
        <f>_xlfn.IFNA(VLOOKUP(C98,merchants!$A$2:$D$41,4,FALSE),"Merchant not found")</f>
        <v>North</v>
      </c>
      <c r="M98" s="2">
        <f>HLOOKUP(G98,Fees!$B$1:$E$2,2,FALSE)</f>
        <v>0</v>
      </c>
      <c r="N98" t="str">
        <f>IF(AND(K98&lt;&gt;"East",GETPIVOTDATA("amount_inr",'Daily Totals'!$A$4,"merchant_name",J98,"Days (transaction_time)",TEXT(D98,"dd-mmm"))&gt;5000),"High-Value Merchant Day", "Normal")</f>
        <v>Normal</v>
      </c>
    </row>
    <row r="99" spans="1:14" x14ac:dyDescent="0.3">
      <c r="A99" t="s">
        <v>112</v>
      </c>
      <c r="B99">
        <v>145</v>
      </c>
      <c r="C99">
        <v>30</v>
      </c>
      <c r="D99" s="1">
        <v>46030.40625</v>
      </c>
      <c r="E99" s="8">
        <f t="shared" si="1"/>
        <v>46030</v>
      </c>
      <c r="F99">
        <v>799</v>
      </c>
      <c r="G99" t="s">
        <v>12</v>
      </c>
      <c r="H99" t="s">
        <v>10</v>
      </c>
      <c r="I99">
        <v>9</v>
      </c>
      <c r="J99" t="str">
        <f>_xlfn.IFNA(VLOOKUP(C99,merchants!$A$2:$D$41,2,FALSE),"Merchant not found")</f>
        <v>Merchant_030</v>
      </c>
      <c r="K99" t="str">
        <f>_xlfn.IFNA(VLOOKUP(C99,merchants!$A$2:$D$41,3,FALSE),"Merchant not found")</f>
        <v>travel</v>
      </c>
      <c r="L99" t="str">
        <f>_xlfn.IFNA(VLOOKUP(C99,merchants!$A$2:$D$41,4,FALSE),"Merchant not found")</f>
        <v>West</v>
      </c>
      <c r="M99" s="2">
        <f>HLOOKUP(G99,Fees!$B$1:$E$2,2,FALSE)</f>
        <v>0</v>
      </c>
      <c r="N99" t="str">
        <f>IF(AND(K99&lt;&gt;"East",GETPIVOTDATA("amount_inr",'Daily Totals'!$A$4,"merchant_name",J99,"Days (transaction_time)",TEXT(D99,"dd-mmm"))&gt;5000),"High-Value Merchant Day", "Normal")</f>
        <v>Normal</v>
      </c>
    </row>
    <row r="100" spans="1:14" x14ac:dyDescent="0.3">
      <c r="A100" t="s">
        <v>113</v>
      </c>
      <c r="B100">
        <v>136</v>
      </c>
      <c r="C100">
        <v>38</v>
      </c>
      <c r="D100" s="1">
        <v>46044.332638888889</v>
      </c>
      <c r="E100" s="8">
        <f t="shared" si="1"/>
        <v>46044</v>
      </c>
      <c r="F100">
        <v>299</v>
      </c>
      <c r="G100" t="s">
        <v>24</v>
      </c>
      <c r="H100" t="s">
        <v>10</v>
      </c>
      <c r="I100">
        <v>84</v>
      </c>
      <c r="J100" t="str">
        <f>_xlfn.IFNA(VLOOKUP(C100,merchants!$A$2:$D$41,2,FALSE),"Merchant not found")</f>
        <v>Merchant_038</v>
      </c>
      <c r="K100" t="str">
        <f>_xlfn.IFNA(VLOOKUP(C100,merchants!$A$2:$D$41,3,FALSE),"Merchant not found")</f>
        <v>grocery</v>
      </c>
      <c r="L100" t="str">
        <f>_xlfn.IFNA(VLOOKUP(C100,merchants!$A$2:$D$41,4,FALSE),"Merchant not found")</f>
        <v>East</v>
      </c>
      <c r="M100" s="2">
        <f>HLOOKUP(G100,Fees!$B$1:$E$2,2,FALSE)</f>
        <v>0.02</v>
      </c>
      <c r="N100" t="str">
        <f>IF(AND(K100&lt;&gt;"East",GETPIVOTDATA("amount_inr",'Daily Totals'!$A$4,"merchant_name",J100,"Days (transaction_time)",TEXT(D100,"dd-mmm"))&gt;5000),"High-Value Merchant Day", "Normal")</f>
        <v>Normal</v>
      </c>
    </row>
    <row r="101" spans="1:14" x14ac:dyDescent="0.3">
      <c r="A101" t="s">
        <v>114</v>
      </c>
      <c r="B101">
        <v>59</v>
      </c>
      <c r="C101">
        <v>35</v>
      </c>
      <c r="D101" s="1">
        <v>46048.268750000003</v>
      </c>
      <c r="E101" s="8">
        <f t="shared" si="1"/>
        <v>46048</v>
      </c>
      <c r="F101">
        <v>499</v>
      </c>
      <c r="G101" t="s">
        <v>12</v>
      </c>
      <c r="H101" t="s">
        <v>10</v>
      </c>
      <c r="I101">
        <v>28</v>
      </c>
      <c r="J101" t="str">
        <f>_xlfn.IFNA(VLOOKUP(C101,merchants!$A$2:$D$41,2,FALSE),"Merchant not found")</f>
        <v>Merchant_035</v>
      </c>
      <c r="K101" t="str">
        <f>_xlfn.IFNA(VLOOKUP(C101,merchants!$A$2:$D$41,3,FALSE),"Merchant not found")</f>
        <v>recharge</v>
      </c>
      <c r="L101" t="str">
        <f>_xlfn.IFNA(VLOOKUP(C101,merchants!$A$2:$D$41,4,FALSE),"Merchant not found")</f>
        <v>East</v>
      </c>
      <c r="M101" s="2">
        <f>HLOOKUP(G101,Fees!$B$1:$E$2,2,FALSE)</f>
        <v>0</v>
      </c>
      <c r="N101" t="str">
        <f>IF(AND(K101&lt;&gt;"East",GETPIVOTDATA("amount_inr",'Daily Totals'!$A$4,"merchant_name",J101,"Days (transaction_time)",TEXT(D101,"dd-mmm"))&gt;5000),"High-Value Merchant Day", "Normal")</f>
        <v>Normal</v>
      </c>
    </row>
    <row r="102" spans="1:14" x14ac:dyDescent="0.3">
      <c r="A102" t="s">
        <v>115</v>
      </c>
      <c r="B102">
        <v>137</v>
      </c>
      <c r="C102">
        <v>10</v>
      </c>
      <c r="D102" s="1">
        <v>46043.206944444442</v>
      </c>
      <c r="E102" s="8">
        <f t="shared" si="1"/>
        <v>46043</v>
      </c>
      <c r="F102">
        <v>299</v>
      </c>
      <c r="G102" t="s">
        <v>12</v>
      </c>
      <c r="H102" t="s">
        <v>10</v>
      </c>
      <c r="I102">
        <v>9</v>
      </c>
      <c r="J102" t="str">
        <f>_xlfn.IFNA(VLOOKUP(C102,merchants!$A$2:$D$41,2,FALSE),"Merchant not found")</f>
        <v>Merchant_010</v>
      </c>
      <c r="K102" t="str">
        <f>_xlfn.IFNA(VLOOKUP(C102,merchants!$A$2:$D$41,3,FALSE),"Merchant not found")</f>
        <v>grocery</v>
      </c>
      <c r="L102" t="str">
        <f>_xlfn.IFNA(VLOOKUP(C102,merchants!$A$2:$D$41,4,FALSE),"Merchant not found")</f>
        <v>West</v>
      </c>
      <c r="M102" s="2">
        <f>HLOOKUP(G102,Fees!$B$1:$E$2,2,FALSE)</f>
        <v>0</v>
      </c>
      <c r="N102" t="str">
        <f>IF(AND(K102&lt;&gt;"East",GETPIVOTDATA("amount_inr",'Daily Totals'!$A$4,"merchant_name",J102,"Days (transaction_time)",TEXT(D102,"dd-mmm"))&gt;5000),"High-Value Merchant Day", "Normal")</f>
        <v>Normal</v>
      </c>
    </row>
    <row r="103" spans="1:14" x14ac:dyDescent="0.3">
      <c r="A103" t="s">
        <v>116</v>
      </c>
      <c r="B103">
        <v>158</v>
      </c>
      <c r="C103">
        <v>39</v>
      </c>
      <c r="D103" s="1">
        <v>46024.243055555555</v>
      </c>
      <c r="E103" s="8">
        <f t="shared" si="1"/>
        <v>46024</v>
      </c>
      <c r="F103">
        <v>499</v>
      </c>
      <c r="G103" t="s">
        <v>15</v>
      </c>
      <c r="H103" t="s">
        <v>10</v>
      </c>
      <c r="I103">
        <v>95</v>
      </c>
      <c r="J103" t="str">
        <f>_xlfn.IFNA(VLOOKUP(C103,merchants!$A$2:$D$41,2,FALSE),"Merchant not found")</f>
        <v>Merchant_039</v>
      </c>
      <c r="K103" t="str">
        <f>_xlfn.IFNA(VLOOKUP(C103,merchants!$A$2:$D$41,3,FALSE),"Merchant not found")</f>
        <v>entertainment</v>
      </c>
      <c r="L103" t="str">
        <f>_xlfn.IFNA(VLOOKUP(C103,merchants!$A$2:$D$41,4,FALSE),"Merchant not found")</f>
        <v>North</v>
      </c>
      <c r="M103" s="2">
        <f>HLOOKUP(G103,Fees!$B$1:$E$2,2,FALSE)</f>
        <v>0.01</v>
      </c>
      <c r="N103" t="str">
        <f>IF(AND(K103&lt;&gt;"East",GETPIVOTDATA("amount_inr",'Daily Totals'!$A$4,"merchant_name",J103,"Days (transaction_time)",TEXT(D103,"dd-mmm"))&gt;5000),"High-Value Merchant Day", "Normal")</f>
        <v>Normal</v>
      </c>
    </row>
    <row r="104" spans="1:14" x14ac:dyDescent="0.3">
      <c r="A104" t="s">
        <v>117</v>
      </c>
      <c r="B104">
        <v>148</v>
      </c>
      <c r="C104">
        <v>29</v>
      </c>
      <c r="D104" s="1">
        <v>46049.790277777778</v>
      </c>
      <c r="E104" s="8">
        <f t="shared" si="1"/>
        <v>46049</v>
      </c>
      <c r="F104">
        <v>99</v>
      </c>
      <c r="G104" t="s">
        <v>24</v>
      </c>
      <c r="H104" t="s">
        <v>10</v>
      </c>
      <c r="I104">
        <v>15</v>
      </c>
      <c r="J104" t="str">
        <f>_xlfn.IFNA(VLOOKUP(C104,merchants!$A$2:$D$41,2,FALSE),"Merchant not found")</f>
        <v>Merchant_029</v>
      </c>
      <c r="K104" t="str">
        <f>_xlfn.IFNA(VLOOKUP(C104,merchants!$A$2:$D$41,3,FALSE),"Merchant not found")</f>
        <v>ecommerce</v>
      </c>
      <c r="L104" t="str">
        <f>_xlfn.IFNA(VLOOKUP(C104,merchants!$A$2:$D$41,4,FALSE),"Merchant not found")</f>
        <v>North</v>
      </c>
      <c r="M104" s="2">
        <f>HLOOKUP(G104,Fees!$B$1:$E$2,2,FALSE)</f>
        <v>0.02</v>
      </c>
      <c r="N104" t="str">
        <f>IF(AND(K104&lt;&gt;"East",GETPIVOTDATA("amount_inr",'Daily Totals'!$A$4,"merchant_name",J104,"Days (transaction_time)",TEXT(D104,"dd-mmm"))&gt;5000),"High-Value Merchant Day", "Normal")</f>
        <v>Normal</v>
      </c>
    </row>
    <row r="105" spans="1:14" x14ac:dyDescent="0.3">
      <c r="A105" t="s">
        <v>118</v>
      </c>
      <c r="B105">
        <v>207</v>
      </c>
      <c r="C105">
        <v>18</v>
      </c>
      <c r="D105" s="1">
        <v>46037.929861111108</v>
      </c>
      <c r="E105" s="8">
        <f t="shared" si="1"/>
        <v>46037</v>
      </c>
      <c r="F105">
        <v>149</v>
      </c>
      <c r="G105" t="s">
        <v>12</v>
      </c>
      <c r="H105" t="s">
        <v>10</v>
      </c>
      <c r="I105">
        <v>64</v>
      </c>
      <c r="J105" t="str">
        <f>_xlfn.IFNA(VLOOKUP(C105,merchants!$A$2:$D$41,2,FALSE),"Merchant not found")</f>
        <v>Merchant_018</v>
      </c>
      <c r="K105" t="str">
        <f>_xlfn.IFNA(VLOOKUP(C105,merchants!$A$2:$D$41,3,FALSE),"Merchant not found")</f>
        <v>grocery</v>
      </c>
      <c r="L105" t="str">
        <f>_xlfn.IFNA(VLOOKUP(C105,merchants!$A$2:$D$41,4,FALSE),"Merchant not found")</f>
        <v>West</v>
      </c>
      <c r="M105" s="2">
        <f>HLOOKUP(G105,Fees!$B$1:$E$2,2,FALSE)</f>
        <v>0</v>
      </c>
      <c r="N105" t="str">
        <f>IF(AND(K105&lt;&gt;"East",GETPIVOTDATA("amount_inr",'Daily Totals'!$A$4,"merchant_name",J105,"Days (transaction_time)",TEXT(D105,"dd-mmm"))&gt;5000),"High-Value Merchant Day", "Normal")</f>
        <v>Normal</v>
      </c>
    </row>
    <row r="106" spans="1:14" x14ac:dyDescent="0.3">
      <c r="A106" t="s">
        <v>119</v>
      </c>
      <c r="B106">
        <v>42</v>
      </c>
      <c r="C106">
        <v>39</v>
      </c>
      <c r="D106" s="1">
        <v>46040.644444444442</v>
      </c>
      <c r="E106" s="8">
        <f t="shared" si="1"/>
        <v>46040</v>
      </c>
      <c r="F106">
        <v>2999</v>
      </c>
      <c r="G106" t="s">
        <v>24</v>
      </c>
      <c r="H106" t="s">
        <v>10</v>
      </c>
      <c r="I106">
        <v>5</v>
      </c>
      <c r="J106" t="str">
        <f>_xlfn.IFNA(VLOOKUP(C106,merchants!$A$2:$D$41,2,FALSE),"Merchant not found")</f>
        <v>Merchant_039</v>
      </c>
      <c r="K106" t="str">
        <f>_xlfn.IFNA(VLOOKUP(C106,merchants!$A$2:$D$41,3,FALSE),"Merchant not found")</f>
        <v>entertainment</v>
      </c>
      <c r="L106" t="str">
        <f>_xlfn.IFNA(VLOOKUP(C106,merchants!$A$2:$D$41,4,FALSE),"Merchant not found")</f>
        <v>North</v>
      </c>
      <c r="M106" s="2">
        <f>HLOOKUP(G106,Fees!$B$1:$E$2,2,FALSE)</f>
        <v>0.02</v>
      </c>
      <c r="N106" t="str">
        <f>IF(AND(K106&lt;&gt;"East",GETPIVOTDATA("amount_inr",'Daily Totals'!$A$4,"merchant_name",J106,"Days (transaction_time)",TEXT(D106,"dd-mmm"))&gt;5000),"High-Value Merchant Day", "Normal")</f>
        <v>Normal</v>
      </c>
    </row>
    <row r="107" spans="1:14" x14ac:dyDescent="0.3">
      <c r="A107" t="s">
        <v>120</v>
      </c>
      <c r="B107">
        <v>166</v>
      </c>
      <c r="C107">
        <v>39</v>
      </c>
      <c r="D107" s="1">
        <v>46051.574305555558</v>
      </c>
      <c r="E107" s="8">
        <f t="shared" si="1"/>
        <v>46051</v>
      </c>
      <c r="F107">
        <v>149</v>
      </c>
      <c r="G107" t="s">
        <v>12</v>
      </c>
      <c r="H107" t="s">
        <v>10</v>
      </c>
      <c r="I107">
        <v>32</v>
      </c>
      <c r="J107" t="str">
        <f>_xlfn.IFNA(VLOOKUP(C107,merchants!$A$2:$D$41,2,FALSE),"Merchant not found")</f>
        <v>Merchant_039</v>
      </c>
      <c r="K107" t="str">
        <f>_xlfn.IFNA(VLOOKUP(C107,merchants!$A$2:$D$41,3,FALSE),"Merchant not found")</f>
        <v>entertainment</v>
      </c>
      <c r="L107" t="str">
        <f>_xlfn.IFNA(VLOOKUP(C107,merchants!$A$2:$D$41,4,FALSE),"Merchant not found")</f>
        <v>North</v>
      </c>
      <c r="M107" s="2">
        <f>HLOOKUP(G107,Fees!$B$1:$E$2,2,FALSE)</f>
        <v>0</v>
      </c>
      <c r="N107" t="str">
        <f>IF(AND(K107&lt;&gt;"East",GETPIVOTDATA("amount_inr",'Daily Totals'!$A$4,"merchant_name",J107,"Days (transaction_time)",TEXT(D107,"dd-mmm"))&gt;5000),"High-Value Merchant Day", "Normal")</f>
        <v>Normal</v>
      </c>
    </row>
    <row r="108" spans="1:14" x14ac:dyDescent="0.3">
      <c r="A108" t="s">
        <v>121</v>
      </c>
      <c r="B108">
        <v>346</v>
      </c>
      <c r="C108">
        <v>37</v>
      </c>
      <c r="D108" s="1">
        <v>46023.093055555553</v>
      </c>
      <c r="E108" s="8">
        <f t="shared" si="1"/>
        <v>46023</v>
      </c>
      <c r="F108">
        <v>99</v>
      </c>
      <c r="G108" t="s">
        <v>12</v>
      </c>
      <c r="H108" t="s">
        <v>10</v>
      </c>
      <c r="I108">
        <v>75</v>
      </c>
      <c r="J108" t="str">
        <f>_xlfn.IFNA(VLOOKUP(C108,merchants!$A$2:$D$41,2,FALSE),"Merchant not found")</f>
        <v>Merchant_037</v>
      </c>
      <c r="K108" t="str">
        <f>_xlfn.IFNA(VLOOKUP(C108,merchants!$A$2:$D$41,3,FALSE),"Merchant not found")</f>
        <v>entertainment</v>
      </c>
      <c r="L108" t="str">
        <f>_xlfn.IFNA(VLOOKUP(C108,merchants!$A$2:$D$41,4,FALSE),"Merchant not found")</f>
        <v>South</v>
      </c>
      <c r="M108" s="2">
        <f>HLOOKUP(G108,Fees!$B$1:$E$2,2,FALSE)</f>
        <v>0</v>
      </c>
      <c r="N108" t="str">
        <f>IF(AND(K108&lt;&gt;"East",GETPIVOTDATA("amount_inr",'Daily Totals'!$A$4,"merchant_name",J108,"Days (transaction_time)",TEXT(D108,"dd-mmm"))&gt;5000),"High-Value Merchant Day", "Normal")</f>
        <v>Normal</v>
      </c>
    </row>
    <row r="109" spans="1:14" x14ac:dyDescent="0.3">
      <c r="A109" t="s">
        <v>122</v>
      </c>
      <c r="B109">
        <v>138</v>
      </c>
      <c r="C109">
        <v>37</v>
      </c>
      <c r="D109" s="1">
        <v>46023.911111111112</v>
      </c>
      <c r="E109" s="8">
        <f t="shared" si="1"/>
        <v>46023</v>
      </c>
      <c r="F109">
        <v>499</v>
      </c>
      <c r="G109" t="s">
        <v>12</v>
      </c>
      <c r="H109" t="s">
        <v>10</v>
      </c>
      <c r="I109">
        <v>5</v>
      </c>
      <c r="J109" t="str">
        <f>_xlfn.IFNA(VLOOKUP(C109,merchants!$A$2:$D$41,2,FALSE),"Merchant not found")</f>
        <v>Merchant_037</v>
      </c>
      <c r="K109" t="str">
        <f>_xlfn.IFNA(VLOOKUP(C109,merchants!$A$2:$D$41,3,FALSE),"Merchant not found")</f>
        <v>entertainment</v>
      </c>
      <c r="L109" t="str">
        <f>_xlfn.IFNA(VLOOKUP(C109,merchants!$A$2:$D$41,4,FALSE),"Merchant not found")</f>
        <v>South</v>
      </c>
      <c r="M109" s="2">
        <f>HLOOKUP(G109,Fees!$B$1:$E$2,2,FALSE)</f>
        <v>0</v>
      </c>
      <c r="N109" t="str">
        <f>IF(AND(K109&lt;&gt;"East",GETPIVOTDATA("amount_inr",'Daily Totals'!$A$4,"merchant_name",J109,"Days (transaction_time)",TEXT(D109,"dd-mmm"))&gt;5000),"High-Value Merchant Day", "Normal")</f>
        <v>Normal</v>
      </c>
    </row>
    <row r="110" spans="1:14" x14ac:dyDescent="0.3">
      <c r="A110" t="s">
        <v>123</v>
      </c>
      <c r="B110">
        <v>266</v>
      </c>
      <c r="C110">
        <v>29</v>
      </c>
      <c r="D110" s="1">
        <v>46047.229166666664</v>
      </c>
      <c r="E110" s="8">
        <f t="shared" si="1"/>
        <v>46047</v>
      </c>
      <c r="F110">
        <v>499</v>
      </c>
      <c r="G110" t="s">
        <v>9</v>
      </c>
      <c r="H110" t="s">
        <v>25</v>
      </c>
      <c r="I110">
        <v>35</v>
      </c>
      <c r="J110" t="str">
        <f>_xlfn.IFNA(VLOOKUP(C110,merchants!$A$2:$D$41,2,FALSE),"Merchant not found")</f>
        <v>Merchant_029</v>
      </c>
      <c r="K110" t="str">
        <f>_xlfn.IFNA(VLOOKUP(C110,merchants!$A$2:$D$41,3,FALSE),"Merchant not found")</f>
        <v>ecommerce</v>
      </c>
      <c r="L110" t="str">
        <f>_xlfn.IFNA(VLOOKUP(C110,merchants!$A$2:$D$41,4,FALSE),"Merchant not found")</f>
        <v>North</v>
      </c>
      <c r="M110" s="2">
        <f>HLOOKUP(G110,Fees!$B$1:$E$2,2,FALSE)</f>
        <v>1.4999999999999999E-2</v>
      </c>
      <c r="N110" t="str">
        <f>IF(AND(K110&lt;&gt;"East",GETPIVOTDATA("amount_inr",'Daily Totals'!$A$4,"merchant_name",J110,"Days (transaction_time)",TEXT(D110,"dd-mmm"))&gt;5000),"High-Value Merchant Day", "Normal")</f>
        <v>Normal</v>
      </c>
    </row>
    <row r="111" spans="1:14" x14ac:dyDescent="0.3">
      <c r="A111" t="s">
        <v>124</v>
      </c>
      <c r="B111">
        <v>326</v>
      </c>
      <c r="C111">
        <v>32</v>
      </c>
      <c r="D111" s="1">
        <v>46028.768750000003</v>
      </c>
      <c r="E111" s="8">
        <f t="shared" si="1"/>
        <v>46028</v>
      </c>
      <c r="F111">
        <v>149</v>
      </c>
      <c r="G111" t="s">
        <v>12</v>
      </c>
      <c r="H111" t="s">
        <v>10</v>
      </c>
      <c r="I111">
        <v>11</v>
      </c>
      <c r="J111" t="str">
        <f>_xlfn.IFNA(VLOOKUP(C111,merchants!$A$2:$D$41,2,FALSE),"Merchant not found")</f>
        <v>Merchant_032</v>
      </c>
      <c r="K111" t="str">
        <f>_xlfn.IFNA(VLOOKUP(C111,merchants!$A$2:$D$41,3,FALSE),"Merchant not found")</f>
        <v>food_delivery</v>
      </c>
      <c r="L111" t="str">
        <f>_xlfn.IFNA(VLOOKUP(C111,merchants!$A$2:$D$41,4,FALSE),"Merchant not found")</f>
        <v>West</v>
      </c>
      <c r="M111" s="2">
        <f>HLOOKUP(G111,Fees!$B$1:$E$2,2,FALSE)</f>
        <v>0</v>
      </c>
      <c r="N111" t="str">
        <f>IF(AND(K111&lt;&gt;"East",GETPIVOTDATA("amount_inr",'Daily Totals'!$A$4,"merchant_name",J111,"Days (transaction_time)",TEXT(D111,"dd-mmm"))&gt;5000),"High-Value Merchant Day", "Normal")</f>
        <v>Normal</v>
      </c>
    </row>
    <row r="112" spans="1:14" x14ac:dyDescent="0.3">
      <c r="A112" t="s">
        <v>125</v>
      </c>
      <c r="B112">
        <v>171</v>
      </c>
      <c r="C112">
        <v>21</v>
      </c>
      <c r="D112" s="1">
        <v>46038.476388888892</v>
      </c>
      <c r="E112" s="8">
        <f t="shared" si="1"/>
        <v>46038</v>
      </c>
      <c r="F112">
        <v>799</v>
      </c>
      <c r="G112" t="s">
        <v>12</v>
      </c>
      <c r="H112" t="s">
        <v>10</v>
      </c>
      <c r="I112">
        <v>85</v>
      </c>
      <c r="J112" t="str">
        <f>_xlfn.IFNA(VLOOKUP(C112,merchants!$A$2:$D$41,2,FALSE),"Merchant not found")</f>
        <v>Merchant_021</v>
      </c>
      <c r="K112" t="str">
        <f>_xlfn.IFNA(VLOOKUP(C112,merchants!$A$2:$D$41,3,FALSE),"Merchant not found")</f>
        <v>food_delivery</v>
      </c>
      <c r="L112" t="str">
        <f>_xlfn.IFNA(VLOOKUP(C112,merchants!$A$2:$D$41,4,FALSE),"Merchant not found")</f>
        <v>East</v>
      </c>
      <c r="M112" s="2">
        <f>HLOOKUP(G112,Fees!$B$1:$E$2,2,FALSE)</f>
        <v>0</v>
      </c>
      <c r="N112" t="str">
        <f>IF(AND(K112&lt;&gt;"East",GETPIVOTDATA("amount_inr",'Daily Totals'!$A$4,"merchant_name",J112,"Days (transaction_time)",TEXT(D112,"dd-mmm"))&gt;5000),"High-Value Merchant Day", "Normal")</f>
        <v>Normal</v>
      </c>
    </row>
    <row r="113" spans="1:14" x14ac:dyDescent="0.3">
      <c r="A113" t="s">
        <v>126</v>
      </c>
      <c r="B113">
        <v>211</v>
      </c>
      <c r="C113">
        <v>32</v>
      </c>
      <c r="D113" s="1">
        <v>46026.222916666666</v>
      </c>
      <c r="E113" s="8">
        <f t="shared" si="1"/>
        <v>46026</v>
      </c>
      <c r="F113">
        <v>49</v>
      </c>
      <c r="G113" t="s">
        <v>12</v>
      </c>
      <c r="H113" t="s">
        <v>10</v>
      </c>
      <c r="I113">
        <v>36</v>
      </c>
      <c r="J113" t="str">
        <f>_xlfn.IFNA(VLOOKUP(C113,merchants!$A$2:$D$41,2,FALSE),"Merchant not found")</f>
        <v>Merchant_032</v>
      </c>
      <c r="K113" t="str">
        <f>_xlfn.IFNA(VLOOKUP(C113,merchants!$A$2:$D$41,3,FALSE),"Merchant not found")</f>
        <v>food_delivery</v>
      </c>
      <c r="L113" t="str">
        <f>_xlfn.IFNA(VLOOKUP(C113,merchants!$A$2:$D$41,4,FALSE),"Merchant not found")</f>
        <v>West</v>
      </c>
      <c r="M113" s="2">
        <f>HLOOKUP(G113,Fees!$B$1:$E$2,2,FALSE)</f>
        <v>0</v>
      </c>
      <c r="N113" t="str">
        <f>IF(AND(K113&lt;&gt;"East",GETPIVOTDATA("amount_inr",'Daily Totals'!$A$4,"merchant_name",J113,"Days (transaction_time)",TEXT(D113,"dd-mmm"))&gt;5000),"High-Value Merchant Day", "Normal")</f>
        <v>Normal</v>
      </c>
    </row>
    <row r="114" spans="1:14" x14ac:dyDescent="0.3">
      <c r="A114" t="s">
        <v>127</v>
      </c>
      <c r="B114">
        <v>282</v>
      </c>
      <c r="C114">
        <v>3</v>
      </c>
      <c r="D114" s="1">
        <v>46044.536111111112</v>
      </c>
      <c r="E114" s="8">
        <f t="shared" si="1"/>
        <v>46044</v>
      </c>
      <c r="F114">
        <v>499</v>
      </c>
      <c r="G114" t="s">
        <v>12</v>
      </c>
      <c r="H114" t="s">
        <v>10</v>
      </c>
      <c r="I114">
        <v>58</v>
      </c>
      <c r="J114" t="str">
        <f>_xlfn.IFNA(VLOOKUP(C114,merchants!$A$2:$D$41,2,FALSE),"Merchant not found")</f>
        <v>Merchant_003</v>
      </c>
      <c r="K114" t="str">
        <f>_xlfn.IFNA(VLOOKUP(C114,merchants!$A$2:$D$41,3,FALSE),"Merchant not found")</f>
        <v>grocery</v>
      </c>
      <c r="L114" t="str">
        <f>_xlfn.IFNA(VLOOKUP(C114,merchants!$A$2:$D$41,4,FALSE),"Merchant not found")</f>
        <v>East</v>
      </c>
      <c r="M114" s="2">
        <f>HLOOKUP(G114,Fees!$B$1:$E$2,2,FALSE)</f>
        <v>0</v>
      </c>
      <c r="N114" t="str">
        <f>IF(AND(K114&lt;&gt;"East",GETPIVOTDATA("amount_inr",'Daily Totals'!$A$4,"merchant_name",J114,"Days (transaction_time)",TEXT(D114,"dd-mmm"))&gt;5000),"High-Value Merchant Day", "Normal")</f>
        <v>Normal</v>
      </c>
    </row>
    <row r="115" spans="1:14" x14ac:dyDescent="0.3">
      <c r="A115" t="s">
        <v>128</v>
      </c>
      <c r="B115">
        <v>166</v>
      </c>
      <c r="C115">
        <v>8</v>
      </c>
      <c r="D115" s="1">
        <v>46025.427777777775</v>
      </c>
      <c r="E115" s="8">
        <f t="shared" si="1"/>
        <v>46025</v>
      </c>
      <c r="F115">
        <v>299</v>
      </c>
      <c r="G115" t="s">
        <v>12</v>
      </c>
      <c r="H115" t="s">
        <v>10</v>
      </c>
      <c r="I115">
        <v>98</v>
      </c>
      <c r="J115" t="str">
        <f>_xlfn.IFNA(VLOOKUP(C115,merchants!$A$2:$D$41,2,FALSE),"Merchant not found")</f>
        <v>Merchant_008</v>
      </c>
      <c r="K115" t="str">
        <f>_xlfn.IFNA(VLOOKUP(C115,merchants!$A$2:$D$41,3,FALSE),"Merchant not found")</f>
        <v>food_delivery</v>
      </c>
      <c r="L115" t="str">
        <f>_xlfn.IFNA(VLOOKUP(C115,merchants!$A$2:$D$41,4,FALSE),"Merchant not found")</f>
        <v>North</v>
      </c>
      <c r="M115" s="2">
        <f>HLOOKUP(G115,Fees!$B$1:$E$2,2,FALSE)</f>
        <v>0</v>
      </c>
      <c r="N115" t="str">
        <f>IF(AND(K115&lt;&gt;"East",GETPIVOTDATA("amount_inr",'Daily Totals'!$A$4,"merchant_name",J115,"Days (transaction_time)",TEXT(D115,"dd-mmm"))&gt;5000),"High-Value Merchant Day", "Normal")</f>
        <v>Normal</v>
      </c>
    </row>
    <row r="116" spans="1:14" x14ac:dyDescent="0.3">
      <c r="A116" t="s">
        <v>129</v>
      </c>
      <c r="B116">
        <v>1</v>
      </c>
      <c r="C116">
        <v>35</v>
      </c>
      <c r="D116" s="1">
        <v>46035.702777777777</v>
      </c>
      <c r="E116" s="8">
        <f t="shared" si="1"/>
        <v>46035</v>
      </c>
      <c r="F116">
        <v>149</v>
      </c>
      <c r="G116" t="s">
        <v>12</v>
      </c>
      <c r="H116" t="s">
        <v>10</v>
      </c>
      <c r="I116">
        <v>59</v>
      </c>
      <c r="J116" t="str">
        <f>_xlfn.IFNA(VLOOKUP(C116,merchants!$A$2:$D$41,2,FALSE),"Merchant not found")</f>
        <v>Merchant_035</v>
      </c>
      <c r="K116" t="str">
        <f>_xlfn.IFNA(VLOOKUP(C116,merchants!$A$2:$D$41,3,FALSE),"Merchant not found")</f>
        <v>recharge</v>
      </c>
      <c r="L116" t="str">
        <f>_xlfn.IFNA(VLOOKUP(C116,merchants!$A$2:$D$41,4,FALSE),"Merchant not found")</f>
        <v>East</v>
      </c>
      <c r="M116" s="2">
        <f>HLOOKUP(G116,Fees!$B$1:$E$2,2,FALSE)</f>
        <v>0</v>
      </c>
      <c r="N116" t="str">
        <f>IF(AND(K116&lt;&gt;"East",GETPIVOTDATA("amount_inr",'Daily Totals'!$A$4,"merchant_name",J116,"Days (transaction_time)",TEXT(D116,"dd-mmm"))&gt;5000),"High-Value Merchant Day", "Normal")</f>
        <v>Normal</v>
      </c>
    </row>
    <row r="117" spans="1:14" x14ac:dyDescent="0.3">
      <c r="A117" t="s">
        <v>130</v>
      </c>
      <c r="B117">
        <v>266</v>
      </c>
      <c r="C117">
        <v>24</v>
      </c>
      <c r="D117" s="1">
        <v>46036.05</v>
      </c>
      <c r="E117" s="8">
        <f t="shared" si="1"/>
        <v>46036</v>
      </c>
      <c r="F117">
        <v>499</v>
      </c>
      <c r="G117" t="s">
        <v>12</v>
      </c>
      <c r="H117" t="s">
        <v>10</v>
      </c>
      <c r="I117">
        <v>79</v>
      </c>
      <c r="J117" t="str">
        <f>_xlfn.IFNA(VLOOKUP(C117,merchants!$A$2:$D$41,2,FALSE),"Merchant not found")</f>
        <v>Merchant_024</v>
      </c>
      <c r="K117" t="str">
        <f>_xlfn.IFNA(VLOOKUP(C117,merchants!$A$2:$D$41,3,FALSE),"Merchant not found")</f>
        <v>grocery</v>
      </c>
      <c r="L117" t="str">
        <f>_xlfn.IFNA(VLOOKUP(C117,merchants!$A$2:$D$41,4,FALSE),"Merchant not found")</f>
        <v>North</v>
      </c>
      <c r="M117" s="2">
        <f>HLOOKUP(G117,Fees!$B$1:$E$2,2,FALSE)</f>
        <v>0</v>
      </c>
      <c r="N117" t="str">
        <f>IF(AND(K117&lt;&gt;"East",GETPIVOTDATA("amount_inr",'Daily Totals'!$A$4,"merchant_name",J117,"Days (transaction_time)",TEXT(D117,"dd-mmm"))&gt;5000),"High-Value Merchant Day", "Normal")</f>
        <v>Normal</v>
      </c>
    </row>
    <row r="118" spans="1:14" x14ac:dyDescent="0.3">
      <c r="A118" t="s">
        <v>131</v>
      </c>
      <c r="B118">
        <v>227</v>
      </c>
      <c r="C118">
        <v>4</v>
      </c>
      <c r="D118" s="1">
        <v>46047.652777777781</v>
      </c>
      <c r="E118" s="8">
        <f t="shared" si="1"/>
        <v>46047</v>
      </c>
      <c r="F118">
        <v>499</v>
      </c>
      <c r="G118" t="s">
        <v>12</v>
      </c>
      <c r="H118" t="s">
        <v>10</v>
      </c>
      <c r="I118">
        <v>26</v>
      </c>
      <c r="J118" t="str">
        <f>_xlfn.IFNA(VLOOKUP(C118,merchants!$A$2:$D$41,2,FALSE),"Merchant not found")</f>
        <v>Merchant_004</v>
      </c>
      <c r="K118" t="str">
        <f>_xlfn.IFNA(VLOOKUP(C118,merchants!$A$2:$D$41,3,FALSE),"Merchant not found")</f>
        <v>ecommerce</v>
      </c>
      <c r="L118" t="str">
        <f>_xlfn.IFNA(VLOOKUP(C118,merchants!$A$2:$D$41,4,FALSE),"Merchant not found")</f>
        <v>East</v>
      </c>
      <c r="M118" s="2">
        <f>HLOOKUP(G118,Fees!$B$1:$E$2,2,FALSE)</f>
        <v>0</v>
      </c>
      <c r="N118" t="str">
        <f>IF(AND(K118&lt;&gt;"East",GETPIVOTDATA("amount_inr",'Daily Totals'!$A$4,"merchant_name",J118,"Days (transaction_time)",TEXT(D118,"dd-mmm"))&gt;5000),"High-Value Merchant Day", "Normal")</f>
        <v>Normal</v>
      </c>
    </row>
    <row r="119" spans="1:14" x14ac:dyDescent="0.3">
      <c r="A119" t="s">
        <v>132</v>
      </c>
      <c r="B119">
        <v>148</v>
      </c>
      <c r="C119">
        <v>29</v>
      </c>
      <c r="D119" s="1">
        <v>46031.713888888888</v>
      </c>
      <c r="E119" s="8">
        <f t="shared" si="1"/>
        <v>46031</v>
      </c>
      <c r="F119">
        <v>499</v>
      </c>
      <c r="G119" t="s">
        <v>12</v>
      </c>
      <c r="H119" t="s">
        <v>10</v>
      </c>
      <c r="I119">
        <v>89</v>
      </c>
      <c r="J119" t="str">
        <f>_xlfn.IFNA(VLOOKUP(C119,merchants!$A$2:$D$41,2,FALSE),"Merchant not found")</f>
        <v>Merchant_029</v>
      </c>
      <c r="K119" t="str">
        <f>_xlfn.IFNA(VLOOKUP(C119,merchants!$A$2:$D$41,3,FALSE),"Merchant not found")</f>
        <v>ecommerce</v>
      </c>
      <c r="L119" t="str">
        <f>_xlfn.IFNA(VLOOKUP(C119,merchants!$A$2:$D$41,4,FALSE),"Merchant not found")</f>
        <v>North</v>
      </c>
      <c r="M119" s="2">
        <f>HLOOKUP(G119,Fees!$B$1:$E$2,2,FALSE)</f>
        <v>0</v>
      </c>
      <c r="N119" t="str">
        <f>IF(AND(K119&lt;&gt;"East",GETPIVOTDATA("amount_inr",'Daily Totals'!$A$4,"merchant_name",J119,"Days (transaction_time)",TEXT(D119,"dd-mmm"))&gt;5000),"High-Value Merchant Day", "Normal")</f>
        <v>Normal</v>
      </c>
    </row>
    <row r="120" spans="1:14" x14ac:dyDescent="0.3">
      <c r="A120" t="s">
        <v>133</v>
      </c>
      <c r="B120">
        <v>323</v>
      </c>
      <c r="C120">
        <v>39</v>
      </c>
      <c r="D120" s="1">
        <v>46038.125694444447</v>
      </c>
      <c r="E120" s="8">
        <f t="shared" si="1"/>
        <v>46038</v>
      </c>
      <c r="F120">
        <v>499</v>
      </c>
      <c r="G120" t="s">
        <v>12</v>
      </c>
      <c r="H120" t="s">
        <v>10</v>
      </c>
      <c r="I120">
        <v>30</v>
      </c>
      <c r="J120" t="str">
        <f>_xlfn.IFNA(VLOOKUP(C120,merchants!$A$2:$D$41,2,FALSE),"Merchant not found")</f>
        <v>Merchant_039</v>
      </c>
      <c r="K120" t="str">
        <f>_xlfn.IFNA(VLOOKUP(C120,merchants!$A$2:$D$41,3,FALSE),"Merchant not found")</f>
        <v>entertainment</v>
      </c>
      <c r="L120" t="str">
        <f>_xlfn.IFNA(VLOOKUP(C120,merchants!$A$2:$D$41,4,FALSE),"Merchant not found")</f>
        <v>North</v>
      </c>
      <c r="M120" s="2">
        <f>HLOOKUP(G120,Fees!$B$1:$E$2,2,FALSE)</f>
        <v>0</v>
      </c>
      <c r="N120" t="str">
        <f>IF(AND(K120&lt;&gt;"East",GETPIVOTDATA("amount_inr",'Daily Totals'!$A$4,"merchant_name",J120,"Days (transaction_time)",TEXT(D120,"dd-mmm"))&gt;5000),"High-Value Merchant Day", "Normal")</f>
        <v>Normal</v>
      </c>
    </row>
    <row r="121" spans="1:14" x14ac:dyDescent="0.3">
      <c r="A121" t="s">
        <v>134</v>
      </c>
      <c r="B121">
        <v>283</v>
      </c>
      <c r="C121">
        <v>1</v>
      </c>
      <c r="D121" s="1">
        <v>46045.22152777778</v>
      </c>
      <c r="E121" s="8">
        <f t="shared" si="1"/>
        <v>46045</v>
      </c>
      <c r="F121">
        <v>2999</v>
      </c>
      <c r="G121" t="s">
        <v>9</v>
      </c>
      <c r="H121" t="s">
        <v>10</v>
      </c>
      <c r="I121">
        <v>70</v>
      </c>
      <c r="J121" t="str">
        <f>_xlfn.IFNA(VLOOKUP(C121,merchants!$A$2:$D$41,2,FALSE),"Merchant not found")</f>
        <v>Merchant_001</v>
      </c>
      <c r="K121" t="str">
        <f>_xlfn.IFNA(VLOOKUP(C121,merchants!$A$2:$D$41,3,FALSE),"Merchant not found")</f>
        <v>ecommerce</v>
      </c>
      <c r="L121" t="str">
        <f>_xlfn.IFNA(VLOOKUP(C121,merchants!$A$2:$D$41,4,FALSE),"Merchant not found")</f>
        <v>South</v>
      </c>
      <c r="M121" s="2">
        <f>HLOOKUP(G121,Fees!$B$1:$E$2,2,FALSE)</f>
        <v>1.4999999999999999E-2</v>
      </c>
      <c r="N121" t="str">
        <f>IF(AND(K121&lt;&gt;"East",GETPIVOTDATA("amount_inr",'Daily Totals'!$A$4,"merchant_name",J121,"Days (transaction_time)",TEXT(D121,"dd-mmm"))&gt;5000),"High-Value Merchant Day", "Normal")</f>
        <v>Normal</v>
      </c>
    </row>
    <row r="122" spans="1:14" x14ac:dyDescent="0.3">
      <c r="A122" t="s">
        <v>135</v>
      </c>
      <c r="B122">
        <v>59</v>
      </c>
      <c r="C122">
        <v>30</v>
      </c>
      <c r="D122" s="1">
        <v>46036.093055555553</v>
      </c>
      <c r="E122" s="8">
        <f t="shared" si="1"/>
        <v>46036</v>
      </c>
      <c r="F122">
        <v>499</v>
      </c>
      <c r="G122" t="s">
        <v>12</v>
      </c>
      <c r="H122" t="s">
        <v>10</v>
      </c>
      <c r="I122">
        <v>15</v>
      </c>
      <c r="J122" t="str">
        <f>_xlfn.IFNA(VLOOKUP(C122,merchants!$A$2:$D$41,2,FALSE),"Merchant not found")</f>
        <v>Merchant_030</v>
      </c>
      <c r="K122" t="str">
        <f>_xlfn.IFNA(VLOOKUP(C122,merchants!$A$2:$D$41,3,FALSE),"Merchant not found")</f>
        <v>travel</v>
      </c>
      <c r="L122" t="str">
        <f>_xlfn.IFNA(VLOOKUP(C122,merchants!$A$2:$D$41,4,FALSE),"Merchant not found")</f>
        <v>West</v>
      </c>
      <c r="M122" s="2">
        <f>HLOOKUP(G122,Fees!$B$1:$E$2,2,FALSE)</f>
        <v>0</v>
      </c>
      <c r="N122" t="str">
        <f>IF(AND(K122&lt;&gt;"East",GETPIVOTDATA("amount_inr",'Daily Totals'!$A$4,"merchant_name",J122,"Days (transaction_time)",TEXT(D122,"dd-mmm"))&gt;5000),"High-Value Merchant Day", "Normal")</f>
        <v>Normal</v>
      </c>
    </row>
    <row r="123" spans="1:14" x14ac:dyDescent="0.3">
      <c r="A123" t="s">
        <v>136</v>
      </c>
      <c r="B123">
        <v>150</v>
      </c>
      <c r="C123">
        <v>33</v>
      </c>
      <c r="D123" s="1">
        <v>46043.188194444447</v>
      </c>
      <c r="E123" s="8">
        <f t="shared" si="1"/>
        <v>46043</v>
      </c>
      <c r="F123">
        <v>2999</v>
      </c>
      <c r="G123" t="s">
        <v>12</v>
      </c>
      <c r="H123" t="s">
        <v>10</v>
      </c>
      <c r="I123">
        <v>90</v>
      </c>
      <c r="J123" t="str">
        <f>_xlfn.IFNA(VLOOKUP(C123,merchants!$A$2:$D$41,2,FALSE),"Merchant not found")</f>
        <v>Merchant_033</v>
      </c>
      <c r="K123" t="str">
        <f>_xlfn.IFNA(VLOOKUP(C123,merchants!$A$2:$D$41,3,FALSE),"Merchant not found")</f>
        <v>bill_payment</v>
      </c>
      <c r="L123" t="str">
        <f>_xlfn.IFNA(VLOOKUP(C123,merchants!$A$2:$D$41,4,FALSE),"Merchant not found")</f>
        <v>East</v>
      </c>
      <c r="M123" s="2">
        <f>HLOOKUP(G123,Fees!$B$1:$E$2,2,FALSE)</f>
        <v>0</v>
      </c>
      <c r="N123" t="str">
        <f>IF(AND(K123&lt;&gt;"East",GETPIVOTDATA("amount_inr",'Daily Totals'!$A$4,"merchant_name",J123,"Days (transaction_time)",TEXT(D123,"dd-mmm"))&gt;5000),"High-Value Merchant Day", "Normal")</f>
        <v>Normal</v>
      </c>
    </row>
    <row r="124" spans="1:14" x14ac:dyDescent="0.3">
      <c r="A124" t="s">
        <v>137</v>
      </c>
      <c r="B124">
        <v>248</v>
      </c>
      <c r="C124">
        <v>31</v>
      </c>
      <c r="D124" s="1">
        <v>46031.578472222223</v>
      </c>
      <c r="E124" s="8">
        <f t="shared" si="1"/>
        <v>46031</v>
      </c>
      <c r="F124">
        <v>1499</v>
      </c>
      <c r="G124" t="s">
        <v>12</v>
      </c>
      <c r="H124" t="s">
        <v>25</v>
      </c>
      <c r="I124">
        <v>31</v>
      </c>
      <c r="J124" t="str">
        <f>_xlfn.IFNA(VLOOKUP(C124,merchants!$A$2:$D$41,2,FALSE),"Merchant not found")</f>
        <v>Merchant_031</v>
      </c>
      <c r="K124" t="str">
        <f>_xlfn.IFNA(VLOOKUP(C124,merchants!$A$2:$D$41,3,FALSE),"Merchant not found")</f>
        <v>bill_payment</v>
      </c>
      <c r="L124" t="str">
        <f>_xlfn.IFNA(VLOOKUP(C124,merchants!$A$2:$D$41,4,FALSE),"Merchant not found")</f>
        <v>East</v>
      </c>
      <c r="M124" s="2">
        <f>HLOOKUP(G124,Fees!$B$1:$E$2,2,FALSE)</f>
        <v>0</v>
      </c>
      <c r="N124" t="str">
        <f>IF(AND(K124&lt;&gt;"East",GETPIVOTDATA("amount_inr",'Daily Totals'!$A$4,"merchant_name",J124,"Days (transaction_time)",TEXT(D124,"dd-mmm"))&gt;5000),"High-Value Merchant Day", "Normal")</f>
        <v>Normal</v>
      </c>
    </row>
    <row r="125" spans="1:14" x14ac:dyDescent="0.3">
      <c r="A125" t="s">
        <v>138</v>
      </c>
      <c r="B125">
        <v>197</v>
      </c>
      <c r="C125">
        <v>13</v>
      </c>
      <c r="D125" s="1">
        <v>46037.714583333334</v>
      </c>
      <c r="E125" s="8">
        <f t="shared" si="1"/>
        <v>46037</v>
      </c>
      <c r="F125">
        <v>49</v>
      </c>
      <c r="G125" t="s">
        <v>12</v>
      </c>
      <c r="H125" t="s">
        <v>10</v>
      </c>
      <c r="I125">
        <v>76</v>
      </c>
      <c r="J125" t="str">
        <f>_xlfn.IFNA(VLOOKUP(C125,merchants!$A$2:$D$41,2,FALSE),"Merchant not found")</f>
        <v>Merchant_013</v>
      </c>
      <c r="K125" t="str">
        <f>_xlfn.IFNA(VLOOKUP(C125,merchants!$A$2:$D$41,3,FALSE),"Merchant not found")</f>
        <v>travel</v>
      </c>
      <c r="L125" t="str">
        <f>_xlfn.IFNA(VLOOKUP(C125,merchants!$A$2:$D$41,4,FALSE),"Merchant not found")</f>
        <v>East</v>
      </c>
      <c r="M125" s="2">
        <f>HLOOKUP(G125,Fees!$B$1:$E$2,2,FALSE)</f>
        <v>0</v>
      </c>
      <c r="N125" t="str">
        <f>IF(AND(K125&lt;&gt;"East",GETPIVOTDATA("amount_inr",'Daily Totals'!$A$4,"merchant_name",J125,"Days (transaction_time)",TEXT(D125,"dd-mmm"))&gt;5000),"High-Value Merchant Day", "Normal")</f>
        <v>Normal</v>
      </c>
    </row>
    <row r="126" spans="1:14" x14ac:dyDescent="0.3">
      <c r="A126" t="s">
        <v>139</v>
      </c>
      <c r="B126">
        <v>70</v>
      </c>
      <c r="C126">
        <v>5</v>
      </c>
      <c r="D126" s="1">
        <v>46039.99722222222</v>
      </c>
      <c r="E126" s="8">
        <f t="shared" si="1"/>
        <v>46039</v>
      </c>
      <c r="F126">
        <v>499</v>
      </c>
      <c r="G126" t="s">
        <v>12</v>
      </c>
      <c r="H126" t="s">
        <v>10</v>
      </c>
      <c r="I126">
        <v>35</v>
      </c>
      <c r="J126" t="str">
        <f>_xlfn.IFNA(VLOOKUP(C126,merchants!$A$2:$D$41,2,FALSE),"Merchant not found")</f>
        <v>Merchant_005</v>
      </c>
      <c r="K126" t="str">
        <f>_xlfn.IFNA(VLOOKUP(C126,merchants!$A$2:$D$41,3,FALSE),"Merchant not found")</f>
        <v>recharge</v>
      </c>
      <c r="L126" t="str">
        <f>_xlfn.IFNA(VLOOKUP(C126,merchants!$A$2:$D$41,4,FALSE),"Merchant not found")</f>
        <v>South</v>
      </c>
      <c r="M126" s="2">
        <f>HLOOKUP(G126,Fees!$B$1:$E$2,2,FALSE)</f>
        <v>0</v>
      </c>
      <c r="N126" t="str">
        <f>IF(AND(K126&lt;&gt;"East",GETPIVOTDATA("amount_inr",'Daily Totals'!$A$4,"merchant_name",J126,"Days (transaction_time)",TEXT(D126,"dd-mmm"))&gt;5000),"High-Value Merchant Day", "Normal")</f>
        <v>Normal</v>
      </c>
    </row>
    <row r="127" spans="1:14" x14ac:dyDescent="0.3">
      <c r="A127" t="s">
        <v>140</v>
      </c>
      <c r="B127">
        <v>260</v>
      </c>
      <c r="C127">
        <v>18</v>
      </c>
      <c r="D127" s="1">
        <v>46047.556250000001</v>
      </c>
      <c r="E127" s="8">
        <f t="shared" si="1"/>
        <v>46047</v>
      </c>
      <c r="F127">
        <v>1499</v>
      </c>
      <c r="G127" t="s">
        <v>12</v>
      </c>
      <c r="H127" t="s">
        <v>10</v>
      </c>
      <c r="I127">
        <v>0</v>
      </c>
      <c r="J127" t="str">
        <f>_xlfn.IFNA(VLOOKUP(C127,merchants!$A$2:$D$41,2,FALSE),"Merchant not found")</f>
        <v>Merchant_018</v>
      </c>
      <c r="K127" t="str">
        <f>_xlfn.IFNA(VLOOKUP(C127,merchants!$A$2:$D$41,3,FALSE),"Merchant not found")</f>
        <v>grocery</v>
      </c>
      <c r="L127" t="str">
        <f>_xlfn.IFNA(VLOOKUP(C127,merchants!$A$2:$D$41,4,FALSE),"Merchant not found")</f>
        <v>West</v>
      </c>
      <c r="M127" s="2">
        <f>HLOOKUP(G127,Fees!$B$1:$E$2,2,FALSE)</f>
        <v>0</v>
      </c>
      <c r="N127" t="str">
        <f>IF(AND(K127&lt;&gt;"East",GETPIVOTDATA("amount_inr",'Daily Totals'!$A$4,"merchant_name",J127,"Days (transaction_time)",TEXT(D127,"dd-mmm"))&gt;5000),"High-Value Merchant Day", "Normal")</f>
        <v>Normal</v>
      </c>
    </row>
    <row r="128" spans="1:14" x14ac:dyDescent="0.3">
      <c r="A128" t="s">
        <v>141</v>
      </c>
      <c r="B128">
        <v>301</v>
      </c>
      <c r="C128">
        <v>38</v>
      </c>
      <c r="D128" s="1">
        <v>46032.97152777778</v>
      </c>
      <c r="E128" s="8">
        <f t="shared" si="1"/>
        <v>46032</v>
      </c>
      <c r="F128">
        <v>99</v>
      </c>
      <c r="G128" t="s">
        <v>12</v>
      </c>
      <c r="H128" t="s">
        <v>10</v>
      </c>
      <c r="I128">
        <v>84</v>
      </c>
      <c r="J128" t="str">
        <f>_xlfn.IFNA(VLOOKUP(C128,merchants!$A$2:$D$41,2,FALSE),"Merchant not found")</f>
        <v>Merchant_038</v>
      </c>
      <c r="K128" t="str">
        <f>_xlfn.IFNA(VLOOKUP(C128,merchants!$A$2:$D$41,3,FALSE),"Merchant not found")</f>
        <v>grocery</v>
      </c>
      <c r="L128" t="str">
        <f>_xlfn.IFNA(VLOOKUP(C128,merchants!$A$2:$D$41,4,FALSE),"Merchant not found")</f>
        <v>East</v>
      </c>
      <c r="M128" s="2">
        <f>HLOOKUP(G128,Fees!$B$1:$E$2,2,FALSE)</f>
        <v>0</v>
      </c>
      <c r="N128" t="str">
        <f>IF(AND(K128&lt;&gt;"East",GETPIVOTDATA("amount_inr",'Daily Totals'!$A$4,"merchant_name",J128,"Days (transaction_time)",TEXT(D128,"dd-mmm"))&gt;5000),"High-Value Merchant Day", "Normal")</f>
        <v>Normal</v>
      </c>
    </row>
    <row r="129" spans="1:14" x14ac:dyDescent="0.3">
      <c r="A129" t="s">
        <v>142</v>
      </c>
      <c r="B129">
        <v>276</v>
      </c>
      <c r="C129">
        <v>31</v>
      </c>
      <c r="D129" s="1">
        <v>46038.186111111114</v>
      </c>
      <c r="E129" s="8">
        <f t="shared" si="1"/>
        <v>46038</v>
      </c>
      <c r="F129">
        <v>499</v>
      </c>
      <c r="G129" t="s">
        <v>24</v>
      </c>
      <c r="H129" t="s">
        <v>10</v>
      </c>
      <c r="I129">
        <v>44</v>
      </c>
      <c r="J129" t="str">
        <f>_xlfn.IFNA(VLOOKUP(C129,merchants!$A$2:$D$41,2,FALSE),"Merchant not found")</f>
        <v>Merchant_031</v>
      </c>
      <c r="K129" t="str">
        <f>_xlfn.IFNA(VLOOKUP(C129,merchants!$A$2:$D$41,3,FALSE),"Merchant not found")</f>
        <v>bill_payment</v>
      </c>
      <c r="L129" t="str">
        <f>_xlfn.IFNA(VLOOKUP(C129,merchants!$A$2:$D$41,4,FALSE),"Merchant not found")</f>
        <v>East</v>
      </c>
      <c r="M129" s="2">
        <f>HLOOKUP(G129,Fees!$B$1:$E$2,2,FALSE)</f>
        <v>0.02</v>
      </c>
      <c r="N129" t="str">
        <f>IF(AND(K129&lt;&gt;"East",GETPIVOTDATA("amount_inr",'Daily Totals'!$A$4,"merchant_name",J129,"Days (transaction_time)",TEXT(D129,"dd-mmm"))&gt;5000),"High-Value Merchant Day", "Normal")</f>
        <v>Normal</v>
      </c>
    </row>
    <row r="130" spans="1:14" x14ac:dyDescent="0.3">
      <c r="A130" t="s">
        <v>143</v>
      </c>
      <c r="B130">
        <v>279</v>
      </c>
      <c r="C130">
        <v>25</v>
      </c>
      <c r="D130" s="1">
        <v>46033.741666666669</v>
      </c>
      <c r="E130" s="8">
        <f t="shared" si="1"/>
        <v>46033</v>
      </c>
      <c r="F130">
        <v>799</v>
      </c>
      <c r="G130" t="s">
        <v>12</v>
      </c>
      <c r="H130" t="s">
        <v>10</v>
      </c>
      <c r="I130">
        <v>58</v>
      </c>
      <c r="J130" t="str">
        <f>_xlfn.IFNA(VLOOKUP(C130,merchants!$A$2:$D$41,2,FALSE),"Merchant not found")</f>
        <v>Merchant_025</v>
      </c>
      <c r="K130" t="str">
        <f>_xlfn.IFNA(VLOOKUP(C130,merchants!$A$2:$D$41,3,FALSE),"Merchant not found")</f>
        <v>travel</v>
      </c>
      <c r="L130" t="str">
        <f>_xlfn.IFNA(VLOOKUP(C130,merchants!$A$2:$D$41,4,FALSE),"Merchant not found")</f>
        <v>South</v>
      </c>
      <c r="M130" s="2">
        <f>HLOOKUP(G130,Fees!$B$1:$E$2,2,FALSE)</f>
        <v>0</v>
      </c>
      <c r="N130" t="str">
        <f>IF(AND(K130&lt;&gt;"East",GETPIVOTDATA("amount_inr",'Daily Totals'!$A$4,"merchant_name",J130,"Days (transaction_time)",TEXT(D130,"dd-mmm"))&gt;5000),"High-Value Merchant Day", "Normal")</f>
        <v>Normal</v>
      </c>
    </row>
    <row r="131" spans="1:14" x14ac:dyDescent="0.3">
      <c r="A131" t="s">
        <v>144</v>
      </c>
      <c r="B131">
        <v>97</v>
      </c>
      <c r="C131">
        <v>16</v>
      </c>
      <c r="D131" s="1">
        <v>46052.454861111109</v>
      </c>
      <c r="E131" s="8">
        <f t="shared" ref="E131:E194" si="2">INT(D131)</f>
        <v>46052</v>
      </c>
      <c r="F131">
        <v>799</v>
      </c>
      <c r="G131" t="s">
        <v>24</v>
      </c>
      <c r="H131" t="s">
        <v>10</v>
      </c>
      <c r="I131">
        <v>73</v>
      </c>
      <c r="J131" t="str">
        <f>_xlfn.IFNA(VLOOKUP(C131,merchants!$A$2:$D$41,2,FALSE),"Merchant not found")</f>
        <v>Merchant_016</v>
      </c>
      <c r="K131" t="str">
        <f>_xlfn.IFNA(VLOOKUP(C131,merchants!$A$2:$D$41,3,FALSE),"Merchant not found")</f>
        <v>bill_payment</v>
      </c>
      <c r="L131" t="str">
        <f>_xlfn.IFNA(VLOOKUP(C131,merchants!$A$2:$D$41,4,FALSE),"Merchant not found")</f>
        <v>West</v>
      </c>
      <c r="M131" s="2">
        <f>HLOOKUP(G131,Fees!$B$1:$E$2,2,FALSE)</f>
        <v>0.02</v>
      </c>
      <c r="N131" t="str">
        <f>IF(AND(K131&lt;&gt;"East",GETPIVOTDATA("amount_inr",'Daily Totals'!$A$4,"merchant_name",J131,"Days (transaction_time)",TEXT(D131,"dd-mmm"))&gt;5000),"High-Value Merchant Day", "Normal")</f>
        <v>Normal</v>
      </c>
    </row>
    <row r="132" spans="1:14" x14ac:dyDescent="0.3">
      <c r="A132" t="s">
        <v>145</v>
      </c>
      <c r="B132">
        <v>211</v>
      </c>
      <c r="C132">
        <v>3</v>
      </c>
      <c r="D132" s="1">
        <v>46035.32916666667</v>
      </c>
      <c r="E132" s="8">
        <f t="shared" si="2"/>
        <v>46035</v>
      </c>
      <c r="F132">
        <v>149</v>
      </c>
      <c r="G132" t="s">
        <v>12</v>
      </c>
      <c r="H132" t="s">
        <v>38</v>
      </c>
      <c r="I132">
        <v>40</v>
      </c>
      <c r="J132" t="str">
        <f>_xlfn.IFNA(VLOOKUP(C132,merchants!$A$2:$D$41,2,FALSE),"Merchant not found")</f>
        <v>Merchant_003</v>
      </c>
      <c r="K132" t="str">
        <f>_xlfn.IFNA(VLOOKUP(C132,merchants!$A$2:$D$41,3,FALSE),"Merchant not found")</f>
        <v>grocery</v>
      </c>
      <c r="L132" t="str">
        <f>_xlfn.IFNA(VLOOKUP(C132,merchants!$A$2:$D$41,4,FALSE),"Merchant not found")</f>
        <v>East</v>
      </c>
      <c r="M132" s="2">
        <f>HLOOKUP(G132,Fees!$B$1:$E$2,2,FALSE)</f>
        <v>0</v>
      </c>
      <c r="N132" t="str">
        <f>IF(AND(K132&lt;&gt;"East",GETPIVOTDATA("amount_inr",'Daily Totals'!$A$4,"merchant_name",J132,"Days (transaction_time)",TEXT(D132,"dd-mmm"))&gt;5000),"High-Value Merchant Day", "Normal")</f>
        <v>Normal</v>
      </c>
    </row>
    <row r="133" spans="1:14" x14ac:dyDescent="0.3">
      <c r="A133" t="s">
        <v>146</v>
      </c>
      <c r="B133">
        <v>196</v>
      </c>
      <c r="C133">
        <v>25</v>
      </c>
      <c r="D133" s="1">
        <v>46046.65625</v>
      </c>
      <c r="E133" s="8">
        <f t="shared" si="2"/>
        <v>46046</v>
      </c>
      <c r="F133">
        <v>149</v>
      </c>
      <c r="G133" t="s">
        <v>15</v>
      </c>
      <c r="H133" t="s">
        <v>10</v>
      </c>
      <c r="I133">
        <v>84</v>
      </c>
      <c r="J133" t="str">
        <f>_xlfn.IFNA(VLOOKUP(C133,merchants!$A$2:$D$41,2,FALSE),"Merchant not found")</f>
        <v>Merchant_025</v>
      </c>
      <c r="K133" t="str">
        <f>_xlfn.IFNA(VLOOKUP(C133,merchants!$A$2:$D$41,3,FALSE),"Merchant not found")</f>
        <v>travel</v>
      </c>
      <c r="L133" t="str">
        <f>_xlfn.IFNA(VLOOKUP(C133,merchants!$A$2:$D$41,4,FALSE),"Merchant not found")</f>
        <v>South</v>
      </c>
      <c r="M133" s="2">
        <f>HLOOKUP(G133,Fees!$B$1:$E$2,2,FALSE)</f>
        <v>0.01</v>
      </c>
      <c r="N133" t="str">
        <f>IF(AND(K133&lt;&gt;"East",GETPIVOTDATA("amount_inr",'Daily Totals'!$A$4,"merchant_name",J133,"Days (transaction_time)",TEXT(D133,"dd-mmm"))&gt;5000),"High-Value Merchant Day", "Normal")</f>
        <v>Normal</v>
      </c>
    </row>
    <row r="134" spans="1:14" x14ac:dyDescent="0.3">
      <c r="A134" t="s">
        <v>147</v>
      </c>
      <c r="B134">
        <v>254</v>
      </c>
      <c r="C134">
        <v>3</v>
      </c>
      <c r="D134" s="1">
        <v>46048.839583333334</v>
      </c>
      <c r="E134" s="8">
        <f t="shared" si="2"/>
        <v>46048</v>
      </c>
      <c r="F134">
        <v>149</v>
      </c>
      <c r="G134" t="s">
        <v>24</v>
      </c>
      <c r="H134" t="s">
        <v>10</v>
      </c>
      <c r="I134">
        <v>16</v>
      </c>
      <c r="J134" t="str">
        <f>_xlfn.IFNA(VLOOKUP(C134,merchants!$A$2:$D$41,2,FALSE),"Merchant not found")</f>
        <v>Merchant_003</v>
      </c>
      <c r="K134" t="str">
        <f>_xlfn.IFNA(VLOOKUP(C134,merchants!$A$2:$D$41,3,FALSE),"Merchant not found")</f>
        <v>grocery</v>
      </c>
      <c r="L134" t="str">
        <f>_xlfn.IFNA(VLOOKUP(C134,merchants!$A$2:$D$41,4,FALSE),"Merchant not found")</f>
        <v>East</v>
      </c>
      <c r="M134" s="2">
        <f>HLOOKUP(G134,Fees!$B$1:$E$2,2,FALSE)</f>
        <v>0.02</v>
      </c>
      <c r="N134" t="str">
        <f>IF(AND(K134&lt;&gt;"East",GETPIVOTDATA("amount_inr",'Daily Totals'!$A$4,"merchant_name",J134,"Days (transaction_time)",TEXT(D134,"dd-mmm"))&gt;5000),"High-Value Merchant Day", "Normal")</f>
        <v>Normal</v>
      </c>
    </row>
    <row r="135" spans="1:14" x14ac:dyDescent="0.3">
      <c r="A135" t="s">
        <v>148</v>
      </c>
      <c r="B135">
        <v>52</v>
      </c>
      <c r="C135">
        <v>29</v>
      </c>
      <c r="D135" s="1">
        <v>46039.76458333333</v>
      </c>
      <c r="E135" s="8">
        <f t="shared" si="2"/>
        <v>46039</v>
      </c>
      <c r="F135">
        <v>49</v>
      </c>
      <c r="G135" t="s">
        <v>15</v>
      </c>
      <c r="H135" t="s">
        <v>10</v>
      </c>
      <c r="I135">
        <v>12</v>
      </c>
      <c r="J135" t="str">
        <f>_xlfn.IFNA(VLOOKUP(C135,merchants!$A$2:$D$41,2,FALSE),"Merchant not found")</f>
        <v>Merchant_029</v>
      </c>
      <c r="K135" t="str">
        <f>_xlfn.IFNA(VLOOKUP(C135,merchants!$A$2:$D$41,3,FALSE),"Merchant not found")</f>
        <v>ecommerce</v>
      </c>
      <c r="L135" t="str">
        <f>_xlfn.IFNA(VLOOKUP(C135,merchants!$A$2:$D$41,4,FALSE),"Merchant not found")</f>
        <v>North</v>
      </c>
      <c r="M135" s="2">
        <f>HLOOKUP(G135,Fees!$B$1:$E$2,2,FALSE)</f>
        <v>0.01</v>
      </c>
      <c r="N135" t="str">
        <f>IF(AND(K135&lt;&gt;"East",GETPIVOTDATA("amount_inr",'Daily Totals'!$A$4,"merchant_name",J135,"Days (transaction_time)",TEXT(D135,"dd-mmm"))&gt;5000),"High-Value Merchant Day", "Normal")</f>
        <v>Normal</v>
      </c>
    </row>
    <row r="136" spans="1:14" x14ac:dyDescent="0.3">
      <c r="A136" t="s">
        <v>149</v>
      </c>
      <c r="B136">
        <v>74</v>
      </c>
      <c r="C136">
        <v>27</v>
      </c>
      <c r="D136" s="1">
        <v>46039.583333333336</v>
      </c>
      <c r="E136" s="8">
        <f t="shared" si="2"/>
        <v>46039</v>
      </c>
      <c r="F136">
        <v>799</v>
      </c>
      <c r="G136" t="s">
        <v>12</v>
      </c>
      <c r="H136" t="s">
        <v>10</v>
      </c>
      <c r="I136">
        <v>83</v>
      </c>
      <c r="J136" t="str">
        <f>_xlfn.IFNA(VLOOKUP(C136,merchants!$A$2:$D$41,2,FALSE),"Merchant not found")</f>
        <v>Merchant_027</v>
      </c>
      <c r="K136" t="str">
        <f>_xlfn.IFNA(VLOOKUP(C136,merchants!$A$2:$D$41,3,FALSE),"Merchant not found")</f>
        <v>ecommerce</v>
      </c>
      <c r="L136" t="str">
        <f>_xlfn.IFNA(VLOOKUP(C136,merchants!$A$2:$D$41,4,FALSE),"Merchant not found")</f>
        <v>North</v>
      </c>
      <c r="M136" s="2">
        <f>HLOOKUP(G136,Fees!$B$1:$E$2,2,FALSE)</f>
        <v>0</v>
      </c>
      <c r="N136" t="str">
        <f>IF(AND(K136&lt;&gt;"East",GETPIVOTDATA("amount_inr",'Daily Totals'!$A$4,"merchant_name",J136,"Days (transaction_time)",TEXT(D136,"dd-mmm"))&gt;5000),"High-Value Merchant Day", "Normal")</f>
        <v>Normal</v>
      </c>
    </row>
    <row r="137" spans="1:14" x14ac:dyDescent="0.3">
      <c r="A137" t="s">
        <v>150</v>
      </c>
      <c r="B137">
        <v>136</v>
      </c>
      <c r="C137">
        <v>22</v>
      </c>
      <c r="D137" s="1">
        <v>46027.104166666664</v>
      </c>
      <c r="E137" s="8">
        <f t="shared" si="2"/>
        <v>46027</v>
      </c>
      <c r="F137">
        <v>149</v>
      </c>
      <c r="G137" t="s">
        <v>12</v>
      </c>
      <c r="H137" t="s">
        <v>10</v>
      </c>
      <c r="I137">
        <v>79</v>
      </c>
      <c r="J137" t="str">
        <f>_xlfn.IFNA(VLOOKUP(C137,merchants!$A$2:$D$41,2,FALSE),"Merchant not found")</f>
        <v>Merchant_022</v>
      </c>
      <c r="K137" t="str">
        <f>_xlfn.IFNA(VLOOKUP(C137,merchants!$A$2:$D$41,3,FALSE),"Merchant not found")</f>
        <v>travel</v>
      </c>
      <c r="L137" t="str">
        <f>_xlfn.IFNA(VLOOKUP(C137,merchants!$A$2:$D$41,4,FALSE),"Merchant not found")</f>
        <v>South</v>
      </c>
      <c r="M137" s="2">
        <f>HLOOKUP(G137,Fees!$B$1:$E$2,2,FALSE)</f>
        <v>0</v>
      </c>
      <c r="N137" t="str">
        <f>IF(AND(K137&lt;&gt;"East",GETPIVOTDATA("amount_inr",'Daily Totals'!$A$4,"merchant_name",J137,"Days (transaction_time)",TEXT(D137,"dd-mmm"))&gt;5000),"High-Value Merchant Day", "Normal")</f>
        <v>Normal</v>
      </c>
    </row>
    <row r="138" spans="1:14" x14ac:dyDescent="0.3">
      <c r="A138" t="s">
        <v>151</v>
      </c>
      <c r="B138">
        <v>42</v>
      </c>
      <c r="C138">
        <v>22</v>
      </c>
      <c r="D138" s="1">
        <v>46045.52847222222</v>
      </c>
      <c r="E138" s="8">
        <f t="shared" si="2"/>
        <v>46045</v>
      </c>
      <c r="F138">
        <v>49</v>
      </c>
      <c r="G138" t="s">
        <v>12</v>
      </c>
      <c r="H138" t="s">
        <v>10</v>
      </c>
      <c r="I138">
        <v>86</v>
      </c>
      <c r="J138" t="str">
        <f>_xlfn.IFNA(VLOOKUP(C138,merchants!$A$2:$D$41,2,FALSE),"Merchant not found")</f>
        <v>Merchant_022</v>
      </c>
      <c r="K138" t="str">
        <f>_xlfn.IFNA(VLOOKUP(C138,merchants!$A$2:$D$41,3,FALSE),"Merchant not found")</f>
        <v>travel</v>
      </c>
      <c r="L138" t="str">
        <f>_xlfn.IFNA(VLOOKUP(C138,merchants!$A$2:$D$41,4,FALSE),"Merchant not found")</f>
        <v>South</v>
      </c>
      <c r="M138" s="2">
        <f>HLOOKUP(G138,Fees!$B$1:$E$2,2,FALSE)</f>
        <v>0</v>
      </c>
      <c r="N138" t="str">
        <f>IF(AND(K138&lt;&gt;"East",GETPIVOTDATA("amount_inr",'Daily Totals'!$A$4,"merchant_name",J138,"Days (transaction_time)",TEXT(D138,"dd-mmm"))&gt;5000),"High-Value Merchant Day", "Normal")</f>
        <v>Normal</v>
      </c>
    </row>
    <row r="139" spans="1:14" x14ac:dyDescent="0.3">
      <c r="A139" t="s">
        <v>152</v>
      </c>
      <c r="B139">
        <v>163</v>
      </c>
      <c r="C139">
        <v>32</v>
      </c>
      <c r="D139" s="1">
        <v>46050.724999999999</v>
      </c>
      <c r="E139" s="8">
        <f t="shared" si="2"/>
        <v>46050</v>
      </c>
      <c r="F139">
        <v>2999</v>
      </c>
      <c r="G139" t="s">
        <v>9</v>
      </c>
      <c r="H139" t="s">
        <v>25</v>
      </c>
      <c r="I139">
        <v>69</v>
      </c>
      <c r="J139" t="str">
        <f>_xlfn.IFNA(VLOOKUP(C139,merchants!$A$2:$D$41,2,FALSE),"Merchant not found")</f>
        <v>Merchant_032</v>
      </c>
      <c r="K139" t="str">
        <f>_xlfn.IFNA(VLOOKUP(C139,merchants!$A$2:$D$41,3,FALSE),"Merchant not found")</f>
        <v>food_delivery</v>
      </c>
      <c r="L139" t="str">
        <f>_xlfn.IFNA(VLOOKUP(C139,merchants!$A$2:$D$41,4,FALSE),"Merchant not found")</f>
        <v>West</v>
      </c>
      <c r="M139" s="2">
        <f>HLOOKUP(G139,Fees!$B$1:$E$2,2,FALSE)</f>
        <v>1.4999999999999999E-2</v>
      </c>
      <c r="N139" t="str">
        <f>IF(AND(K139&lt;&gt;"East",GETPIVOTDATA("amount_inr",'Daily Totals'!$A$4,"merchant_name",J139,"Days (transaction_time)",TEXT(D139,"dd-mmm"))&gt;5000),"High-Value Merchant Day", "Normal")</f>
        <v>Normal</v>
      </c>
    </row>
    <row r="140" spans="1:14" x14ac:dyDescent="0.3">
      <c r="A140" t="s">
        <v>153</v>
      </c>
      <c r="B140">
        <v>121</v>
      </c>
      <c r="C140">
        <v>19</v>
      </c>
      <c r="D140" s="1">
        <v>46024.794444444444</v>
      </c>
      <c r="E140" s="8">
        <f t="shared" si="2"/>
        <v>46024</v>
      </c>
      <c r="F140">
        <v>149</v>
      </c>
      <c r="G140" t="s">
        <v>12</v>
      </c>
      <c r="H140" t="s">
        <v>10</v>
      </c>
      <c r="I140">
        <v>29</v>
      </c>
      <c r="J140" t="str">
        <f>_xlfn.IFNA(VLOOKUP(C140,merchants!$A$2:$D$41,2,FALSE),"Merchant not found")</f>
        <v>Merchant_019</v>
      </c>
      <c r="K140" t="str">
        <f>_xlfn.IFNA(VLOOKUP(C140,merchants!$A$2:$D$41,3,FALSE),"Merchant not found")</f>
        <v>grocery</v>
      </c>
      <c r="L140" t="str">
        <f>_xlfn.IFNA(VLOOKUP(C140,merchants!$A$2:$D$41,4,FALSE),"Merchant not found")</f>
        <v>North</v>
      </c>
      <c r="M140" s="2">
        <f>HLOOKUP(G140,Fees!$B$1:$E$2,2,FALSE)</f>
        <v>0</v>
      </c>
      <c r="N140" t="str">
        <f>IF(AND(K140&lt;&gt;"East",GETPIVOTDATA("amount_inr",'Daily Totals'!$A$4,"merchant_name",J140,"Days (transaction_time)",TEXT(D140,"dd-mmm"))&gt;5000),"High-Value Merchant Day", "Normal")</f>
        <v>Normal</v>
      </c>
    </row>
    <row r="141" spans="1:14" x14ac:dyDescent="0.3">
      <c r="A141" t="s">
        <v>154</v>
      </c>
      <c r="B141">
        <v>51</v>
      </c>
      <c r="C141">
        <v>7</v>
      </c>
      <c r="D141" s="1">
        <v>46046.102083333331</v>
      </c>
      <c r="E141" s="8">
        <f t="shared" si="2"/>
        <v>46046</v>
      </c>
      <c r="F141">
        <v>499</v>
      </c>
      <c r="G141" t="s">
        <v>24</v>
      </c>
      <c r="H141" t="s">
        <v>10</v>
      </c>
      <c r="I141">
        <v>56</v>
      </c>
      <c r="J141" t="str">
        <f>_xlfn.IFNA(VLOOKUP(C141,merchants!$A$2:$D$41,2,FALSE),"Merchant not found")</f>
        <v>Merchant_007</v>
      </c>
      <c r="K141" t="str">
        <f>_xlfn.IFNA(VLOOKUP(C141,merchants!$A$2:$D$41,3,FALSE),"Merchant not found")</f>
        <v>food_delivery</v>
      </c>
      <c r="L141" t="str">
        <f>_xlfn.IFNA(VLOOKUP(C141,merchants!$A$2:$D$41,4,FALSE),"Merchant not found")</f>
        <v>East</v>
      </c>
      <c r="M141" s="2">
        <f>HLOOKUP(G141,Fees!$B$1:$E$2,2,FALSE)</f>
        <v>0.02</v>
      </c>
      <c r="N141" t="str">
        <f>IF(AND(K141&lt;&gt;"East",GETPIVOTDATA("amount_inr",'Daily Totals'!$A$4,"merchant_name",J141,"Days (transaction_time)",TEXT(D141,"dd-mmm"))&gt;5000),"High-Value Merchant Day", "Normal")</f>
        <v>Normal</v>
      </c>
    </row>
    <row r="142" spans="1:14" x14ac:dyDescent="0.3">
      <c r="A142" t="s">
        <v>155</v>
      </c>
      <c r="B142">
        <v>15</v>
      </c>
      <c r="C142">
        <v>3</v>
      </c>
      <c r="D142" s="1">
        <v>46028.929861111108</v>
      </c>
      <c r="E142" s="8">
        <f t="shared" si="2"/>
        <v>46028</v>
      </c>
      <c r="F142">
        <v>799</v>
      </c>
      <c r="G142" t="s">
        <v>12</v>
      </c>
      <c r="H142" t="s">
        <v>10</v>
      </c>
      <c r="I142">
        <v>41</v>
      </c>
      <c r="J142" t="str">
        <f>_xlfn.IFNA(VLOOKUP(C142,merchants!$A$2:$D$41,2,FALSE),"Merchant not found")</f>
        <v>Merchant_003</v>
      </c>
      <c r="K142" t="str">
        <f>_xlfn.IFNA(VLOOKUP(C142,merchants!$A$2:$D$41,3,FALSE),"Merchant not found")</f>
        <v>grocery</v>
      </c>
      <c r="L142" t="str">
        <f>_xlfn.IFNA(VLOOKUP(C142,merchants!$A$2:$D$41,4,FALSE),"Merchant not found")</f>
        <v>East</v>
      </c>
      <c r="M142" s="2">
        <f>HLOOKUP(G142,Fees!$B$1:$E$2,2,FALSE)</f>
        <v>0</v>
      </c>
      <c r="N142" t="str">
        <f>IF(AND(K142&lt;&gt;"East",GETPIVOTDATA("amount_inr",'Daily Totals'!$A$4,"merchant_name",J142,"Days (transaction_time)",TEXT(D142,"dd-mmm"))&gt;5000),"High-Value Merchant Day", "Normal")</f>
        <v>Normal</v>
      </c>
    </row>
    <row r="143" spans="1:14" x14ac:dyDescent="0.3">
      <c r="A143" t="s">
        <v>156</v>
      </c>
      <c r="B143">
        <v>184</v>
      </c>
      <c r="C143">
        <v>24</v>
      </c>
      <c r="D143" s="1">
        <v>46048.054166666669</v>
      </c>
      <c r="E143" s="8">
        <f t="shared" si="2"/>
        <v>46048</v>
      </c>
      <c r="F143">
        <v>49</v>
      </c>
      <c r="G143" t="s">
        <v>12</v>
      </c>
      <c r="H143" t="s">
        <v>10</v>
      </c>
      <c r="I143">
        <v>55</v>
      </c>
      <c r="J143" t="str">
        <f>_xlfn.IFNA(VLOOKUP(C143,merchants!$A$2:$D$41,2,FALSE),"Merchant not found")</f>
        <v>Merchant_024</v>
      </c>
      <c r="K143" t="str">
        <f>_xlfn.IFNA(VLOOKUP(C143,merchants!$A$2:$D$41,3,FALSE),"Merchant not found")</f>
        <v>grocery</v>
      </c>
      <c r="L143" t="str">
        <f>_xlfn.IFNA(VLOOKUP(C143,merchants!$A$2:$D$41,4,FALSE),"Merchant not found")</f>
        <v>North</v>
      </c>
      <c r="M143" s="2">
        <f>HLOOKUP(G143,Fees!$B$1:$E$2,2,FALSE)</f>
        <v>0</v>
      </c>
      <c r="N143" t="str">
        <f>IF(AND(K143&lt;&gt;"East",GETPIVOTDATA("amount_inr",'Daily Totals'!$A$4,"merchant_name",J143,"Days (transaction_time)",TEXT(D143,"dd-mmm"))&gt;5000),"High-Value Merchant Day", "Normal")</f>
        <v>Normal</v>
      </c>
    </row>
    <row r="144" spans="1:14" x14ac:dyDescent="0.3">
      <c r="A144" t="s">
        <v>157</v>
      </c>
      <c r="B144">
        <v>211</v>
      </c>
      <c r="C144">
        <v>37</v>
      </c>
      <c r="D144" s="1">
        <v>46027.314583333333</v>
      </c>
      <c r="E144" s="8">
        <f t="shared" si="2"/>
        <v>46027</v>
      </c>
      <c r="F144">
        <v>1499</v>
      </c>
      <c r="G144" t="s">
        <v>12</v>
      </c>
      <c r="H144" t="s">
        <v>10</v>
      </c>
      <c r="I144">
        <v>87</v>
      </c>
      <c r="J144" t="str">
        <f>_xlfn.IFNA(VLOOKUP(C144,merchants!$A$2:$D$41,2,FALSE),"Merchant not found")</f>
        <v>Merchant_037</v>
      </c>
      <c r="K144" t="str">
        <f>_xlfn.IFNA(VLOOKUP(C144,merchants!$A$2:$D$41,3,FALSE),"Merchant not found")</f>
        <v>entertainment</v>
      </c>
      <c r="L144" t="str">
        <f>_xlfn.IFNA(VLOOKUP(C144,merchants!$A$2:$D$41,4,FALSE),"Merchant not found")</f>
        <v>South</v>
      </c>
      <c r="M144" s="2">
        <f>HLOOKUP(G144,Fees!$B$1:$E$2,2,FALSE)</f>
        <v>0</v>
      </c>
      <c r="N144" t="str">
        <f>IF(AND(K144&lt;&gt;"East",GETPIVOTDATA("amount_inr",'Daily Totals'!$A$4,"merchant_name",J144,"Days (transaction_time)",TEXT(D144,"dd-mmm"))&gt;5000),"High-Value Merchant Day", "Normal")</f>
        <v>Normal</v>
      </c>
    </row>
    <row r="145" spans="1:14" x14ac:dyDescent="0.3">
      <c r="A145" t="s">
        <v>158</v>
      </c>
      <c r="B145">
        <v>90</v>
      </c>
      <c r="C145">
        <v>6</v>
      </c>
      <c r="D145" s="1">
        <v>46048.215277777781</v>
      </c>
      <c r="E145" s="8">
        <f t="shared" si="2"/>
        <v>46048</v>
      </c>
      <c r="F145">
        <v>49</v>
      </c>
      <c r="G145" t="s">
        <v>24</v>
      </c>
      <c r="H145" t="s">
        <v>10</v>
      </c>
      <c r="I145">
        <v>78</v>
      </c>
      <c r="J145" t="str">
        <f>_xlfn.IFNA(VLOOKUP(C145,merchants!$A$2:$D$41,2,FALSE),"Merchant not found")</f>
        <v>Merchant_006</v>
      </c>
      <c r="K145" t="str">
        <f>_xlfn.IFNA(VLOOKUP(C145,merchants!$A$2:$D$41,3,FALSE),"Merchant not found")</f>
        <v>food_delivery</v>
      </c>
      <c r="L145" t="str">
        <f>_xlfn.IFNA(VLOOKUP(C145,merchants!$A$2:$D$41,4,FALSE),"Merchant not found")</f>
        <v>South</v>
      </c>
      <c r="M145" s="2">
        <f>HLOOKUP(G145,Fees!$B$1:$E$2,2,FALSE)</f>
        <v>0.02</v>
      </c>
      <c r="N145" t="str">
        <f>IF(AND(K145&lt;&gt;"East",GETPIVOTDATA("amount_inr",'Daily Totals'!$A$4,"merchant_name",J145,"Days (transaction_time)",TEXT(D145,"dd-mmm"))&gt;5000),"High-Value Merchant Day", "Normal")</f>
        <v>Normal</v>
      </c>
    </row>
    <row r="146" spans="1:14" x14ac:dyDescent="0.3">
      <c r="A146" t="s">
        <v>159</v>
      </c>
      <c r="B146">
        <v>350</v>
      </c>
      <c r="C146">
        <v>16</v>
      </c>
      <c r="D146" s="1">
        <v>46050.527083333334</v>
      </c>
      <c r="E146" s="8">
        <f t="shared" si="2"/>
        <v>46050</v>
      </c>
      <c r="F146">
        <v>49</v>
      </c>
      <c r="G146" t="s">
        <v>12</v>
      </c>
      <c r="H146" t="s">
        <v>10</v>
      </c>
      <c r="I146">
        <v>63</v>
      </c>
      <c r="J146" t="str">
        <f>_xlfn.IFNA(VLOOKUP(C146,merchants!$A$2:$D$41,2,FALSE),"Merchant not found")</f>
        <v>Merchant_016</v>
      </c>
      <c r="K146" t="str">
        <f>_xlfn.IFNA(VLOOKUP(C146,merchants!$A$2:$D$41,3,FALSE),"Merchant not found")</f>
        <v>bill_payment</v>
      </c>
      <c r="L146" t="str">
        <f>_xlfn.IFNA(VLOOKUP(C146,merchants!$A$2:$D$41,4,FALSE),"Merchant not found")</f>
        <v>West</v>
      </c>
      <c r="M146" s="2">
        <f>HLOOKUP(G146,Fees!$B$1:$E$2,2,FALSE)</f>
        <v>0</v>
      </c>
      <c r="N146" t="str">
        <f>IF(AND(K146&lt;&gt;"East",GETPIVOTDATA("amount_inr",'Daily Totals'!$A$4,"merchant_name",J146,"Days (transaction_time)",TEXT(D146,"dd-mmm"))&gt;5000),"High-Value Merchant Day", "Normal")</f>
        <v>Normal</v>
      </c>
    </row>
    <row r="147" spans="1:14" x14ac:dyDescent="0.3">
      <c r="A147" t="s">
        <v>160</v>
      </c>
      <c r="B147">
        <v>119</v>
      </c>
      <c r="C147">
        <v>30</v>
      </c>
      <c r="D147" s="1">
        <v>46052.756249999999</v>
      </c>
      <c r="E147" s="8">
        <f t="shared" si="2"/>
        <v>46052</v>
      </c>
      <c r="F147">
        <v>49</v>
      </c>
      <c r="G147" t="s">
        <v>24</v>
      </c>
      <c r="H147" t="s">
        <v>10</v>
      </c>
      <c r="I147">
        <v>81</v>
      </c>
      <c r="J147" t="str">
        <f>_xlfn.IFNA(VLOOKUP(C147,merchants!$A$2:$D$41,2,FALSE),"Merchant not found")</f>
        <v>Merchant_030</v>
      </c>
      <c r="K147" t="str">
        <f>_xlfn.IFNA(VLOOKUP(C147,merchants!$A$2:$D$41,3,FALSE),"Merchant not found")</f>
        <v>travel</v>
      </c>
      <c r="L147" t="str">
        <f>_xlfn.IFNA(VLOOKUP(C147,merchants!$A$2:$D$41,4,FALSE),"Merchant not found")</f>
        <v>West</v>
      </c>
      <c r="M147" s="2">
        <f>HLOOKUP(G147,Fees!$B$1:$E$2,2,FALSE)</f>
        <v>0.02</v>
      </c>
      <c r="N147" t="str">
        <f>IF(AND(K147&lt;&gt;"East",GETPIVOTDATA("amount_inr",'Daily Totals'!$A$4,"merchant_name",J147,"Days (transaction_time)",TEXT(D147,"dd-mmm"))&gt;5000),"High-Value Merchant Day", "Normal")</f>
        <v>Normal</v>
      </c>
    </row>
    <row r="148" spans="1:14" x14ac:dyDescent="0.3">
      <c r="A148" t="s">
        <v>161</v>
      </c>
      <c r="B148">
        <v>342</v>
      </c>
      <c r="C148">
        <v>1</v>
      </c>
      <c r="D148" s="1">
        <v>46031.594444444447</v>
      </c>
      <c r="E148" s="8">
        <f t="shared" si="2"/>
        <v>46031</v>
      </c>
      <c r="F148">
        <v>49</v>
      </c>
      <c r="G148" t="s">
        <v>12</v>
      </c>
      <c r="H148" t="s">
        <v>10</v>
      </c>
      <c r="I148">
        <v>59</v>
      </c>
      <c r="J148" t="str">
        <f>_xlfn.IFNA(VLOOKUP(C148,merchants!$A$2:$D$41,2,FALSE),"Merchant not found")</f>
        <v>Merchant_001</v>
      </c>
      <c r="K148" t="str">
        <f>_xlfn.IFNA(VLOOKUP(C148,merchants!$A$2:$D$41,3,FALSE),"Merchant not found")</f>
        <v>ecommerce</v>
      </c>
      <c r="L148" t="str">
        <f>_xlfn.IFNA(VLOOKUP(C148,merchants!$A$2:$D$41,4,FALSE),"Merchant not found")</f>
        <v>South</v>
      </c>
      <c r="M148" s="2">
        <f>HLOOKUP(G148,Fees!$B$1:$E$2,2,FALSE)</f>
        <v>0</v>
      </c>
      <c r="N148" t="str">
        <f>IF(AND(K148&lt;&gt;"East",GETPIVOTDATA("amount_inr",'Daily Totals'!$A$4,"merchant_name",J148,"Days (transaction_time)",TEXT(D148,"dd-mmm"))&gt;5000),"High-Value Merchant Day", "Normal")</f>
        <v>High-Value Merchant Day</v>
      </c>
    </row>
    <row r="149" spans="1:14" x14ac:dyDescent="0.3">
      <c r="A149" t="s">
        <v>162</v>
      </c>
      <c r="B149">
        <v>280</v>
      </c>
      <c r="C149">
        <v>11</v>
      </c>
      <c r="D149" s="1">
        <v>46051.404861111114</v>
      </c>
      <c r="E149" s="8">
        <f t="shared" si="2"/>
        <v>46051</v>
      </c>
      <c r="F149">
        <v>149</v>
      </c>
      <c r="G149" t="s">
        <v>12</v>
      </c>
      <c r="H149" t="s">
        <v>38</v>
      </c>
      <c r="I149">
        <v>9</v>
      </c>
      <c r="J149" t="str">
        <f>_xlfn.IFNA(VLOOKUP(C149,merchants!$A$2:$D$41,2,FALSE),"Merchant not found")</f>
        <v>Merchant_011</v>
      </c>
      <c r="K149" t="str">
        <f>_xlfn.IFNA(VLOOKUP(C149,merchants!$A$2:$D$41,3,FALSE),"Merchant not found")</f>
        <v>ecommerce</v>
      </c>
      <c r="L149" t="str">
        <f>_xlfn.IFNA(VLOOKUP(C149,merchants!$A$2:$D$41,4,FALSE),"Merchant not found")</f>
        <v>North</v>
      </c>
      <c r="M149" s="2">
        <f>HLOOKUP(G149,Fees!$B$1:$E$2,2,FALSE)</f>
        <v>0</v>
      </c>
      <c r="N149" t="str">
        <f>IF(AND(K149&lt;&gt;"East",GETPIVOTDATA("amount_inr",'Daily Totals'!$A$4,"merchant_name",J149,"Days (transaction_time)",TEXT(D149,"dd-mmm"))&gt;5000),"High-Value Merchant Day", "Normal")</f>
        <v>Normal</v>
      </c>
    </row>
    <row r="150" spans="1:14" x14ac:dyDescent="0.3">
      <c r="A150" t="s">
        <v>163</v>
      </c>
      <c r="B150">
        <v>154</v>
      </c>
      <c r="C150">
        <v>28</v>
      </c>
      <c r="D150" s="1">
        <v>46037.484027777777</v>
      </c>
      <c r="E150" s="8">
        <f t="shared" si="2"/>
        <v>46037</v>
      </c>
      <c r="F150">
        <v>2999</v>
      </c>
      <c r="G150" t="s">
        <v>15</v>
      </c>
      <c r="H150" t="s">
        <v>10</v>
      </c>
      <c r="I150">
        <v>88</v>
      </c>
      <c r="J150" t="str">
        <f>_xlfn.IFNA(VLOOKUP(C150,merchants!$A$2:$D$41,2,FALSE),"Merchant not found")</f>
        <v>Merchant_028</v>
      </c>
      <c r="K150" t="str">
        <f>_xlfn.IFNA(VLOOKUP(C150,merchants!$A$2:$D$41,3,FALSE),"Merchant not found")</f>
        <v>ecommerce</v>
      </c>
      <c r="L150" t="str">
        <f>_xlfn.IFNA(VLOOKUP(C150,merchants!$A$2:$D$41,4,FALSE),"Merchant not found")</f>
        <v>South</v>
      </c>
      <c r="M150" s="2">
        <f>HLOOKUP(G150,Fees!$B$1:$E$2,2,FALSE)</f>
        <v>0.01</v>
      </c>
      <c r="N150" t="str">
        <f>IF(AND(K150&lt;&gt;"East",GETPIVOTDATA("amount_inr",'Daily Totals'!$A$4,"merchant_name",J150,"Days (transaction_time)",TEXT(D150,"dd-mmm"))&gt;5000),"High-Value Merchant Day", "Normal")</f>
        <v>Normal</v>
      </c>
    </row>
    <row r="151" spans="1:14" x14ac:dyDescent="0.3">
      <c r="A151" t="s">
        <v>164</v>
      </c>
      <c r="B151">
        <v>155</v>
      </c>
      <c r="C151">
        <v>13</v>
      </c>
      <c r="D151" s="1">
        <v>46031.620833333334</v>
      </c>
      <c r="E151" s="8">
        <f t="shared" si="2"/>
        <v>46031</v>
      </c>
      <c r="F151">
        <v>149</v>
      </c>
      <c r="G151" t="s">
        <v>12</v>
      </c>
      <c r="H151" t="s">
        <v>10</v>
      </c>
      <c r="I151">
        <v>49</v>
      </c>
      <c r="J151" t="str">
        <f>_xlfn.IFNA(VLOOKUP(C151,merchants!$A$2:$D$41,2,FALSE),"Merchant not found")</f>
        <v>Merchant_013</v>
      </c>
      <c r="K151" t="str">
        <f>_xlfn.IFNA(VLOOKUP(C151,merchants!$A$2:$D$41,3,FALSE),"Merchant not found")</f>
        <v>travel</v>
      </c>
      <c r="L151" t="str">
        <f>_xlfn.IFNA(VLOOKUP(C151,merchants!$A$2:$D$41,4,FALSE),"Merchant not found")</f>
        <v>East</v>
      </c>
      <c r="M151" s="2">
        <f>HLOOKUP(G151,Fees!$B$1:$E$2,2,FALSE)</f>
        <v>0</v>
      </c>
      <c r="N151" t="str">
        <f>IF(AND(K151&lt;&gt;"East",GETPIVOTDATA("amount_inr",'Daily Totals'!$A$4,"merchant_name",J151,"Days (transaction_time)",TEXT(D151,"dd-mmm"))&gt;5000),"High-Value Merchant Day", "Normal")</f>
        <v>Normal</v>
      </c>
    </row>
    <row r="152" spans="1:14" x14ac:dyDescent="0.3">
      <c r="A152" t="s">
        <v>165</v>
      </c>
      <c r="B152">
        <v>122</v>
      </c>
      <c r="C152">
        <v>25</v>
      </c>
      <c r="D152" s="1">
        <v>46050.629166666666</v>
      </c>
      <c r="E152" s="8">
        <f t="shared" si="2"/>
        <v>46050</v>
      </c>
      <c r="F152">
        <v>299</v>
      </c>
      <c r="G152" t="s">
        <v>12</v>
      </c>
      <c r="H152" t="s">
        <v>10</v>
      </c>
      <c r="I152">
        <v>73</v>
      </c>
      <c r="J152" t="str">
        <f>_xlfn.IFNA(VLOOKUP(C152,merchants!$A$2:$D$41,2,FALSE),"Merchant not found")</f>
        <v>Merchant_025</v>
      </c>
      <c r="K152" t="str">
        <f>_xlfn.IFNA(VLOOKUP(C152,merchants!$A$2:$D$41,3,FALSE),"Merchant not found")</f>
        <v>travel</v>
      </c>
      <c r="L152" t="str">
        <f>_xlfn.IFNA(VLOOKUP(C152,merchants!$A$2:$D$41,4,FALSE),"Merchant not found")</f>
        <v>South</v>
      </c>
      <c r="M152" s="2">
        <f>HLOOKUP(G152,Fees!$B$1:$E$2,2,FALSE)</f>
        <v>0</v>
      </c>
      <c r="N152" t="str">
        <f>IF(AND(K152&lt;&gt;"East",GETPIVOTDATA("amount_inr",'Daily Totals'!$A$4,"merchant_name",J152,"Days (transaction_time)",TEXT(D152,"dd-mmm"))&gt;5000),"High-Value Merchant Day", "Normal")</f>
        <v>Normal</v>
      </c>
    </row>
    <row r="153" spans="1:14" x14ac:dyDescent="0.3">
      <c r="A153" t="s">
        <v>166</v>
      </c>
      <c r="B153">
        <v>152</v>
      </c>
      <c r="C153">
        <v>2</v>
      </c>
      <c r="D153" s="1">
        <v>46034.762499999997</v>
      </c>
      <c r="E153" s="8">
        <f t="shared" si="2"/>
        <v>46034</v>
      </c>
      <c r="F153">
        <v>49</v>
      </c>
      <c r="G153" t="s">
        <v>12</v>
      </c>
      <c r="H153" t="s">
        <v>10</v>
      </c>
      <c r="I153">
        <v>84</v>
      </c>
      <c r="J153" t="str">
        <f>_xlfn.IFNA(VLOOKUP(C153,merchants!$A$2:$D$41,2,FALSE),"Merchant not found")</f>
        <v>Merchant_002</v>
      </c>
      <c r="K153" t="str">
        <f>_xlfn.IFNA(VLOOKUP(C153,merchants!$A$2:$D$41,3,FALSE),"Merchant not found")</f>
        <v>grocery</v>
      </c>
      <c r="L153" t="str">
        <f>_xlfn.IFNA(VLOOKUP(C153,merchants!$A$2:$D$41,4,FALSE),"Merchant not found")</f>
        <v>West</v>
      </c>
      <c r="M153" s="2">
        <f>HLOOKUP(G153,Fees!$B$1:$E$2,2,FALSE)</f>
        <v>0</v>
      </c>
      <c r="N153" t="str">
        <f>IF(AND(K153&lt;&gt;"East",GETPIVOTDATA("amount_inr",'Daily Totals'!$A$4,"merchant_name",J153,"Days (transaction_time)",TEXT(D153,"dd-mmm"))&gt;5000),"High-Value Merchant Day", "Normal")</f>
        <v>Normal</v>
      </c>
    </row>
    <row r="154" spans="1:14" x14ac:dyDescent="0.3">
      <c r="A154" t="s">
        <v>167</v>
      </c>
      <c r="B154">
        <v>290</v>
      </c>
      <c r="C154">
        <v>4</v>
      </c>
      <c r="D154" s="1">
        <v>46035.333333333336</v>
      </c>
      <c r="E154" s="8">
        <f t="shared" si="2"/>
        <v>46035</v>
      </c>
      <c r="F154">
        <v>149</v>
      </c>
      <c r="G154" t="s">
        <v>12</v>
      </c>
      <c r="H154" t="s">
        <v>10</v>
      </c>
      <c r="I154">
        <v>77</v>
      </c>
      <c r="J154" t="str">
        <f>_xlfn.IFNA(VLOOKUP(C154,merchants!$A$2:$D$41,2,FALSE),"Merchant not found")</f>
        <v>Merchant_004</v>
      </c>
      <c r="K154" t="str">
        <f>_xlfn.IFNA(VLOOKUP(C154,merchants!$A$2:$D$41,3,FALSE),"Merchant not found")</f>
        <v>ecommerce</v>
      </c>
      <c r="L154" t="str">
        <f>_xlfn.IFNA(VLOOKUP(C154,merchants!$A$2:$D$41,4,FALSE),"Merchant not found")</f>
        <v>East</v>
      </c>
      <c r="M154" s="2">
        <f>HLOOKUP(G154,Fees!$B$1:$E$2,2,FALSE)</f>
        <v>0</v>
      </c>
      <c r="N154" t="str">
        <f>IF(AND(K154&lt;&gt;"East",GETPIVOTDATA("amount_inr",'Daily Totals'!$A$4,"merchant_name",J154,"Days (transaction_time)",TEXT(D154,"dd-mmm"))&gt;5000),"High-Value Merchant Day", "Normal")</f>
        <v>Normal</v>
      </c>
    </row>
    <row r="155" spans="1:14" x14ac:dyDescent="0.3">
      <c r="A155" t="s">
        <v>168</v>
      </c>
      <c r="B155">
        <v>147</v>
      </c>
      <c r="C155">
        <v>15</v>
      </c>
      <c r="D155" s="1">
        <v>46046.661805555559</v>
      </c>
      <c r="E155" s="8">
        <f t="shared" si="2"/>
        <v>46046</v>
      </c>
      <c r="F155">
        <v>49</v>
      </c>
      <c r="G155" t="s">
        <v>9</v>
      </c>
      <c r="H155" t="s">
        <v>10</v>
      </c>
      <c r="I155">
        <v>77</v>
      </c>
      <c r="J155" t="str">
        <f>_xlfn.IFNA(VLOOKUP(C155,merchants!$A$2:$D$41,2,FALSE),"Merchant not found")</f>
        <v>Merchant_015</v>
      </c>
      <c r="K155" t="str">
        <f>_xlfn.IFNA(VLOOKUP(C155,merchants!$A$2:$D$41,3,FALSE),"Merchant not found")</f>
        <v>travel</v>
      </c>
      <c r="L155" t="str">
        <f>_xlfn.IFNA(VLOOKUP(C155,merchants!$A$2:$D$41,4,FALSE),"Merchant not found")</f>
        <v>North</v>
      </c>
      <c r="M155" s="2">
        <f>HLOOKUP(G155,Fees!$B$1:$E$2,2,FALSE)</f>
        <v>1.4999999999999999E-2</v>
      </c>
      <c r="N155" t="str">
        <f>IF(AND(K155&lt;&gt;"East",GETPIVOTDATA("amount_inr",'Daily Totals'!$A$4,"merchant_name",J155,"Days (transaction_time)",TEXT(D155,"dd-mmm"))&gt;5000),"High-Value Merchant Day", "Normal")</f>
        <v>Normal</v>
      </c>
    </row>
    <row r="156" spans="1:14" x14ac:dyDescent="0.3">
      <c r="A156" t="s">
        <v>169</v>
      </c>
      <c r="B156">
        <v>326</v>
      </c>
      <c r="C156">
        <v>13</v>
      </c>
      <c r="D156" s="1">
        <v>46048.468055555553</v>
      </c>
      <c r="E156" s="8">
        <f t="shared" si="2"/>
        <v>46048</v>
      </c>
      <c r="F156">
        <v>299</v>
      </c>
      <c r="G156" t="s">
        <v>15</v>
      </c>
      <c r="H156" t="s">
        <v>10</v>
      </c>
      <c r="I156">
        <v>79</v>
      </c>
      <c r="J156" t="str">
        <f>_xlfn.IFNA(VLOOKUP(C156,merchants!$A$2:$D$41,2,FALSE),"Merchant not found")</f>
        <v>Merchant_013</v>
      </c>
      <c r="K156" t="str">
        <f>_xlfn.IFNA(VLOOKUP(C156,merchants!$A$2:$D$41,3,FALSE),"Merchant not found")</f>
        <v>travel</v>
      </c>
      <c r="L156" t="str">
        <f>_xlfn.IFNA(VLOOKUP(C156,merchants!$A$2:$D$41,4,FALSE),"Merchant not found")</f>
        <v>East</v>
      </c>
      <c r="M156" s="2">
        <f>HLOOKUP(G156,Fees!$B$1:$E$2,2,FALSE)</f>
        <v>0.01</v>
      </c>
      <c r="N156" t="str">
        <f>IF(AND(K156&lt;&gt;"East",GETPIVOTDATA("amount_inr",'Daily Totals'!$A$4,"merchant_name",J156,"Days (transaction_time)",TEXT(D156,"dd-mmm"))&gt;5000),"High-Value Merchant Day", "Normal")</f>
        <v>Normal</v>
      </c>
    </row>
    <row r="157" spans="1:14" x14ac:dyDescent="0.3">
      <c r="A157" t="s">
        <v>170</v>
      </c>
      <c r="B157">
        <v>338</v>
      </c>
      <c r="C157">
        <v>9</v>
      </c>
      <c r="D157" s="1">
        <v>46031.908333333333</v>
      </c>
      <c r="E157" s="8">
        <f t="shared" si="2"/>
        <v>46031</v>
      </c>
      <c r="F157">
        <v>99</v>
      </c>
      <c r="G157" t="s">
        <v>24</v>
      </c>
      <c r="H157" t="s">
        <v>10</v>
      </c>
      <c r="I157">
        <v>80</v>
      </c>
      <c r="J157" t="str">
        <f>_xlfn.IFNA(VLOOKUP(C157,merchants!$A$2:$D$41,2,FALSE),"Merchant not found")</f>
        <v>Merchant_009</v>
      </c>
      <c r="K157" t="str">
        <f>_xlfn.IFNA(VLOOKUP(C157,merchants!$A$2:$D$41,3,FALSE),"Merchant not found")</f>
        <v>ecommerce</v>
      </c>
      <c r="L157" t="str">
        <f>_xlfn.IFNA(VLOOKUP(C157,merchants!$A$2:$D$41,4,FALSE),"Merchant not found")</f>
        <v>North</v>
      </c>
      <c r="M157" s="2">
        <f>HLOOKUP(G157,Fees!$B$1:$E$2,2,FALSE)</f>
        <v>0.02</v>
      </c>
      <c r="N157" t="str">
        <f>IF(AND(K157&lt;&gt;"East",GETPIVOTDATA("amount_inr",'Daily Totals'!$A$4,"merchant_name",J157,"Days (transaction_time)",TEXT(D157,"dd-mmm"))&gt;5000),"High-Value Merchant Day", "Normal")</f>
        <v>Normal</v>
      </c>
    </row>
    <row r="158" spans="1:14" x14ac:dyDescent="0.3">
      <c r="A158" t="s">
        <v>171</v>
      </c>
      <c r="B158">
        <v>21</v>
      </c>
      <c r="C158">
        <v>20</v>
      </c>
      <c r="D158" s="1">
        <v>46026.861805555556</v>
      </c>
      <c r="E158" s="8">
        <f t="shared" si="2"/>
        <v>46026</v>
      </c>
      <c r="F158">
        <v>2999</v>
      </c>
      <c r="G158" t="s">
        <v>12</v>
      </c>
      <c r="H158" t="s">
        <v>10</v>
      </c>
      <c r="I158">
        <v>100</v>
      </c>
      <c r="J158" t="str">
        <f>_xlfn.IFNA(VLOOKUP(C158,merchants!$A$2:$D$41,2,FALSE),"Merchant not found")</f>
        <v>Merchant_020</v>
      </c>
      <c r="K158" t="str">
        <f>_xlfn.IFNA(VLOOKUP(C158,merchants!$A$2:$D$41,3,FALSE),"Merchant not found")</f>
        <v>food_delivery</v>
      </c>
      <c r="L158" t="str">
        <f>_xlfn.IFNA(VLOOKUP(C158,merchants!$A$2:$D$41,4,FALSE),"Merchant not found")</f>
        <v>East</v>
      </c>
      <c r="M158" s="2">
        <f>HLOOKUP(G158,Fees!$B$1:$E$2,2,FALSE)</f>
        <v>0</v>
      </c>
      <c r="N158" t="str">
        <f>IF(AND(K158&lt;&gt;"East",GETPIVOTDATA("amount_inr",'Daily Totals'!$A$4,"merchant_name",J158,"Days (transaction_time)",TEXT(D158,"dd-mmm"))&gt;5000),"High-Value Merchant Day", "Normal")</f>
        <v>Normal</v>
      </c>
    </row>
    <row r="159" spans="1:14" x14ac:dyDescent="0.3">
      <c r="A159" t="s">
        <v>172</v>
      </c>
      <c r="B159">
        <v>187</v>
      </c>
      <c r="C159">
        <v>9</v>
      </c>
      <c r="D159" s="1">
        <v>46037.067361111112</v>
      </c>
      <c r="E159" s="8">
        <f t="shared" si="2"/>
        <v>46037</v>
      </c>
      <c r="F159">
        <v>49</v>
      </c>
      <c r="G159" t="s">
        <v>24</v>
      </c>
      <c r="H159" t="s">
        <v>25</v>
      </c>
      <c r="I159">
        <v>11</v>
      </c>
      <c r="J159" t="str">
        <f>_xlfn.IFNA(VLOOKUP(C159,merchants!$A$2:$D$41,2,FALSE),"Merchant not found")</f>
        <v>Merchant_009</v>
      </c>
      <c r="K159" t="str">
        <f>_xlfn.IFNA(VLOOKUP(C159,merchants!$A$2:$D$41,3,FALSE),"Merchant not found")</f>
        <v>ecommerce</v>
      </c>
      <c r="L159" t="str">
        <f>_xlfn.IFNA(VLOOKUP(C159,merchants!$A$2:$D$41,4,FALSE),"Merchant not found")</f>
        <v>North</v>
      </c>
      <c r="M159" s="2">
        <f>HLOOKUP(G159,Fees!$B$1:$E$2,2,FALSE)</f>
        <v>0.02</v>
      </c>
      <c r="N159" t="str">
        <f>IF(AND(K159&lt;&gt;"East",GETPIVOTDATA("amount_inr",'Daily Totals'!$A$4,"merchant_name",J159,"Days (transaction_time)",TEXT(D159,"dd-mmm"))&gt;5000),"High-Value Merchant Day", "Normal")</f>
        <v>Normal</v>
      </c>
    </row>
    <row r="160" spans="1:14" x14ac:dyDescent="0.3">
      <c r="A160" t="s">
        <v>173</v>
      </c>
      <c r="B160">
        <v>213</v>
      </c>
      <c r="C160">
        <v>12</v>
      </c>
      <c r="D160" s="1">
        <v>46052.388888888891</v>
      </c>
      <c r="E160" s="8">
        <f t="shared" si="2"/>
        <v>46052</v>
      </c>
      <c r="F160">
        <v>4999</v>
      </c>
      <c r="G160" t="s">
        <v>12</v>
      </c>
      <c r="H160" t="s">
        <v>10</v>
      </c>
      <c r="I160">
        <v>25</v>
      </c>
      <c r="J160" t="str">
        <f>_xlfn.IFNA(VLOOKUP(C160,merchants!$A$2:$D$41,2,FALSE),"Merchant not found")</f>
        <v>Merchant_012</v>
      </c>
      <c r="K160" t="str">
        <f>_xlfn.IFNA(VLOOKUP(C160,merchants!$A$2:$D$41,3,FALSE),"Merchant not found")</f>
        <v>ecommerce</v>
      </c>
      <c r="L160" t="str">
        <f>_xlfn.IFNA(VLOOKUP(C160,merchants!$A$2:$D$41,4,FALSE),"Merchant not found")</f>
        <v>East</v>
      </c>
      <c r="M160" s="2">
        <f>HLOOKUP(G160,Fees!$B$1:$E$2,2,FALSE)</f>
        <v>0</v>
      </c>
      <c r="N160" t="str">
        <f>IF(AND(K160&lt;&gt;"East",GETPIVOTDATA("amount_inr",'Daily Totals'!$A$4,"merchant_name",J160,"Days (transaction_time)",TEXT(D160,"dd-mmm"))&gt;5000),"High-Value Merchant Day", "Normal")</f>
        <v>Normal</v>
      </c>
    </row>
    <row r="161" spans="1:14" x14ac:dyDescent="0.3">
      <c r="A161" t="s">
        <v>174</v>
      </c>
      <c r="B161">
        <v>188</v>
      </c>
      <c r="C161">
        <v>34</v>
      </c>
      <c r="D161" s="1">
        <v>46027.74722222222</v>
      </c>
      <c r="E161" s="8">
        <f t="shared" si="2"/>
        <v>46027</v>
      </c>
      <c r="F161">
        <v>2999</v>
      </c>
      <c r="G161" t="s">
        <v>12</v>
      </c>
      <c r="H161" t="s">
        <v>10</v>
      </c>
      <c r="I161">
        <v>64</v>
      </c>
      <c r="J161" t="str">
        <f>_xlfn.IFNA(VLOOKUP(C161,merchants!$A$2:$D$41,2,FALSE),"Merchant not found")</f>
        <v>Merchant_034</v>
      </c>
      <c r="K161" t="str">
        <f>_xlfn.IFNA(VLOOKUP(C161,merchants!$A$2:$D$41,3,FALSE),"Merchant not found")</f>
        <v>travel</v>
      </c>
      <c r="L161" t="str">
        <f>_xlfn.IFNA(VLOOKUP(C161,merchants!$A$2:$D$41,4,FALSE),"Merchant not found")</f>
        <v>South</v>
      </c>
      <c r="M161" s="2">
        <f>HLOOKUP(G161,Fees!$B$1:$E$2,2,FALSE)</f>
        <v>0</v>
      </c>
      <c r="N161" t="str">
        <f>IF(AND(K161&lt;&gt;"East",GETPIVOTDATA("amount_inr",'Daily Totals'!$A$4,"merchant_name",J161,"Days (transaction_time)",TEXT(D161,"dd-mmm"))&gt;5000),"High-Value Merchant Day", "Normal")</f>
        <v>Normal</v>
      </c>
    </row>
    <row r="162" spans="1:14" x14ac:dyDescent="0.3">
      <c r="A162" t="s">
        <v>175</v>
      </c>
      <c r="B162">
        <v>85</v>
      </c>
      <c r="C162">
        <v>17</v>
      </c>
      <c r="D162" s="1">
        <v>46052.370138888888</v>
      </c>
      <c r="E162" s="8">
        <f t="shared" si="2"/>
        <v>46052</v>
      </c>
      <c r="F162">
        <v>499</v>
      </c>
      <c r="G162" t="s">
        <v>12</v>
      </c>
      <c r="H162" t="s">
        <v>10</v>
      </c>
      <c r="I162">
        <v>61</v>
      </c>
      <c r="J162" t="str">
        <f>_xlfn.IFNA(VLOOKUP(C162,merchants!$A$2:$D$41,2,FALSE),"Merchant not found")</f>
        <v>Merchant_017</v>
      </c>
      <c r="K162" t="str">
        <f>_xlfn.IFNA(VLOOKUP(C162,merchants!$A$2:$D$41,3,FALSE),"Merchant not found")</f>
        <v>grocery</v>
      </c>
      <c r="L162" t="str">
        <f>_xlfn.IFNA(VLOOKUP(C162,merchants!$A$2:$D$41,4,FALSE),"Merchant not found")</f>
        <v>North</v>
      </c>
      <c r="M162" s="2">
        <f>HLOOKUP(G162,Fees!$B$1:$E$2,2,FALSE)</f>
        <v>0</v>
      </c>
      <c r="N162" t="str">
        <f>IF(AND(K162&lt;&gt;"East",GETPIVOTDATA("amount_inr",'Daily Totals'!$A$4,"merchant_name",J162,"Days (transaction_time)",TEXT(D162,"dd-mmm"))&gt;5000),"High-Value Merchant Day", "Normal")</f>
        <v>Normal</v>
      </c>
    </row>
    <row r="163" spans="1:14" x14ac:dyDescent="0.3">
      <c r="A163" t="s">
        <v>176</v>
      </c>
      <c r="B163">
        <v>174</v>
      </c>
      <c r="C163">
        <v>8</v>
      </c>
      <c r="D163" s="1">
        <v>46048.407638888886</v>
      </c>
      <c r="E163" s="8">
        <f t="shared" si="2"/>
        <v>46048</v>
      </c>
      <c r="F163">
        <v>299</v>
      </c>
      <c r="G163" t="s">
        <v>15</v>
      </c>
      <c r="H163" t="s">
        <v>10</v>
      </c>
      <c r="I163">
        <v>59</v>
      </c>
      <c r="J163" t="str">
        <f>_xlfn.IFNA(VLOOKUP(C163,merchants!$A$2:$D$41,2,FALSE),"Merchant not found")</f>
        <v>Merchant_008</v>
      </c>
      <c r="K163" t="str">
        <f>_xlfn.IFNA(VLOOKUP(C163,merchants!$A$2:$D$41,3,FALSE),"Merchant not found")</f>
        <v>food_delivery</v>
      </c>
      <c r="L163" t="str">
        <f>_xlfn.IFNA(VLOOKUP(C163,merchants!$A$2:$D$41,4,FALSE),"Merchant not found")</f>
        <v>North</v>
      </c>
      <c r="M163" s="2">
        <f>HLOOKUP(G163,Fees!$B$1:$E$2,2,FALSE)</f>
        <v>0.01</v>
      </c>
      <c r="N163" t="str">
        <f>IF(AND(K163&lt;&gt;"East",GETPIVOTDATA("amount_inr",'Daily Totals'!$A$4,"merchant_name",J163,"Days (transaction_time)",TEXT(D163,"dd-mmm"))&gt;5000),"High-Value Merchant Day", "Normal")</f>
        <v>Normal</v>
      </c>
    </row>
    <row r="164" spans="1:14" x14ac:dyDescent="0.3">
      <c r="A164" t="s">
        <v>177</v>
      </c>
      <c r="B164">
        <v>116</v>
      </c>
      <c r="C164">
        <v>26</v>
      </c>
      <c r="D164" s="1">
        <v>46025.2</v>
      </c>
      <c r="E164" s="8">
        <f t="shared" si="2"/>
        <v>46025</v>
      </c>
      <c r="F164">
        <v>99</v>
      </c>
      <c r="G164" t="s">
        <v>15</v>
      </c>
      <c r="H164" t="s">
        <v>10</v>
      </c>
      <c r="I164">
        <v>71</v>
      </c>
      <c r="J164" t="str">
        <f>_xlfn.IFNA(VLOOKUP(C164,merchants!$A$2:$D$41,2,FALSE),"Merchant not found")</f>
        <v>Merchant_026</v>
      </c>
      <c r="K164" t="str">
        <f>_xlfn.IFNA(VLOOKUP(C164,merchants!$A$2:$D$41,3,FALSE),"Merchant not found")</f>
        <v>food_delivery</v>
      </c>
      <c r="L164" t="str">
        <f>_xlfn.IFNA(VLOOKUP(C164,merchants!$A$2:$D$41,4,FALSE),"Merchant not found")</f>
        <v>East</v>
      </c>
      <c r="M164" s="2">
        <f>HLOOKUP(G164,Fees!$B$1:$E$2,2,FALSE)</f>
        <v>0.01</v>
      </c>
      <c r="N164" t="str">
        <f>IF(AND(K164&lt;&gt;"East",GETPIVOTDATA("amount_inr",'Daily Totals'!$A$4,"merchant_name",J164,"Days (transaction_time)",TEXT(D164,"dd-mmm"))&gt;5000),"High-Value Merchant Day", "Normal")</f>
        <v>Normal</v>
      </c>
    </row>
    <row r="165" spans="1:14" x14ac:dyDescent="0.3">
      <c r="A165" t="s">
        <v>178</v>
      </c>
      <c r="B165">
        <v>203</v>
      </c>
      <c r="C165">
        <v>1</v>
      </c>
      <c r="D165" s="1">
        <v>46034.118055555555</v>
      </c>
      <c r="E165" s="8">
        <f t="shared" si="2"/>
        <v>46034</v>
      </c>
      <c r="F165">
        <v>149</v>
      </c>
      <c r="G165" t="s">
        <v>9</v>
      </c>
      <c r="H165" t="s">
        <v>10</v>
      </c>
      <c r="I165">
        <v>33</v>
      </c>
      <c r="J165" t="str">
        <f>_xlfn.IFNA(VLOOKUP(C165,merchants!$A$2:$D$41,2,FALSE),"Merchant not found")</f>
        <v>Merchant_001</v>
      </c>
      <c r="K165" t="str">
        <f>_xlfn.IFNA(VLOOKUP(C165,merchants!$A$2:$D$41,3,FALSE),"Merchant not found")</f>
        <v>ecommerce</v>
      </c>
      <c r="L165" t="str">
        <f>_xlfn.IFNA(VLOOKUP(C165,merchants!$A$2:$D$41,4,FALSE),"Merchant not found")</f>
        <v>South</v>
      </c>
      <c r="M165" s="2">
        <f>HLOOKUP(G165,Fees!$B$1:$E$2,2,FALSE)</f>
        <v>1.4999999999999999E-2</v>
      </c>
      <c r="N165" t="str">
        <f>IF(AND(K165&lt;&gt;"East",GETPIVOTDATA("amount_inr",'Daily Totals'!$A$4,"merchant_name",J165,"Days (transaction_time)",TEXT(D165,"dd-mmm"))&gt;5000),"High-Value Merchant Day", "Normal")</f>
        <v>Normal</v>
      </c>
    </row>
    <row r="166" spans="1:14" x14ac:dyDescent="0.3">
      <c r="A166" t="s">
        <v>179</v>
      </c>
      <c r="B166">
        <v>189</v>
      </c>
      <c r="C166">
        <v>17</v>
      </c>
      <c r="D166" s="1">
        <v>46040.145138888889</v>
      </c>
      <c r="E166" s="8">
        <f t="shared" si="2"/>
        <v>46040</v>
      </c>
      <c r="F166">
        <v>99</v>
      </c>
      <c r="G166" t="s">
        <v>12</v>
      </c>
      <c r="H166" t="s">
        <v>10</v>
      </c>
      <c r="I166">
        <v>74</v>
      </c>
      <c r="J166" t="str">
        <f>_xlfn.IFNA(VLOOKUP(C166,merchants!$A$2:$D$41,2,FALSE),"Merchant not found")</f>
        <v>Merchant_017</v>
      </c>
      <c r="K166" t="str">
        <f>_xlfn.IFNA(VLOOKUP(C166,merchants!$A$2:$D$41,3,FALSE),"Merchant not found")</f>
        <v>grocery</v>
      </c>
      <c r="L166" t="str">
        <f>_xlfn.IFNA(VLOOKUP(C166,merchants!$A$2:$D$41,4,FALSE),"Merchant not found")</f>
        <v>North</v>
      </c>
      <c r="M166" s="2">
        <f>HLOOKUP(G166,Fees!$B$1:$E$2,2,FALSE)</f>
        <v>0</v>
      </c>
      <c r="N166" t="str">
        <f>IF(AND(K166&lt;&gt;"East",GETPIVOTDATA("amount_inr",'Daily Totals'!$A$4,"merchant_name",J166,"Days (transaction_time)",TEXT(D166,"dd-mmm"))&gt;5000),"High-Value Merchant Day", "Normal")</f>
        <v>Normal</v>
      </c>
    </row>
    <row r="167" spans="1:14" x14ac:dyDescent="0.3">
      <c r="A167" t="s">
        <v>180</v>
      </c>
      <c r="B167">
        <v>56</v>
      </c>
      <c r="C167">
        <v>15</v>
      </c>
      <c r="D167" s="1">
        <v>46035.849305555559</v>
      </c>
      <c r="E167" s="8">
        <f t="shared" si="2"/>
        <v>46035</v>
      </c>
      <c r="F167">
        <v>299</v>
      </c>
      <c r="G167" t="s">
        <v>12</v>
      </c>
      <c r="H167" t="s">
        <v>10</v>
      </c>
      <c r="I167">
        <v>60</v>
      </c>
      <c r="J167" t="str">
        <f>_xlfn.IFNA(VLOOKUP(C167,merchants!$A$2:$D$41,2,FALSE),"Merchant not found")</f>
        <v>Merchant_015</v>
      </c>
      <c r="K167" t="str">
        <f>_xlfn.IFNA(VLOOKUP(C167,merchants!$A$2:$D$41,3,FALSE),"Merchant not found")</f>
        <v>travel</v>
      </c>
      <c r="L167" t="str">
        <f>_xlfn.IFNA(VLOOKUP(C167,merchants!$A$2:$D$41,4,FALSE),"Merchant not found")</f>
        <v>North</v>
      </c>
      <c r="M167" s="2">
        <f>HLOOKUP(G167,Fees!$B$1:$E$2,2,FALSE)</f>
        <v>0</v>
      </c>
      <c r="N167" t="str">
        <f>IF(AND(K167&lt;&gt;"East",GETPIVOTDATA("amount_inr",'Daily Totals'!$A$4,"merchant_name",J167,"Days (transaction_time)",TEXT(D167,"dd-mmm"))&gt;5000),"High-Value Merchant Day", "Normal")</f>
        <v>Normal</v>
      </c>
    </row>
    <row r="168" spans="1:14" x14ac:dyDescent="0.3">
      <c r="A168" t="s">
        <v>181</v>
      </c>
      <c r="B168">
        <v>288</v>
      </c>
      <c r="C168">
        <v>21</v>
      </c>
      <c r="D168" s="1">
        <v>46023.830555555556</v>
      </c>
      <c r="E168" s="8">
        <f t="shared" si="2"/>
        <v>46023</v>
      </c>
      <c r="F168">
        <v>4999</v>
      </c>
      <c r="G168" t="s">
        <v>9</v>
      </c>
      <c r="H168" t="s">
        <v>25</v>
      </c>
      <c r="I168">
        <v>78</v>
      </c>
      <c r="J168" t="str">
        <f>_xlfn.IFNA(VLOOKUP(C168,merchants!$A$2:$D$41,2,FALSE),"Merchant not found")</f>
        <v>Merchant_021</v>
      </c>
      <c r="K168" t="str">
        <f>_xlfn.IFNA(VLOOKUP(C168,merchants!$A$2:$D$41,3,FALSE),"Merchant not found")</f>
        <v>food_delivery</v>
      </c>
      <c r="L168" t="str">
        <f>_xlfn.IFNA(VLOOKUP(C168,merchants!$A$2:$D$41,4,FALSE),"Merchant not found")</f>
        <v>East</v>
      </c>
      <c r="M168" s="2">
        <f>HLOOKUP(G168,Fees!$B$1:$E$2,2,FALSE)</f>
        <v>1.4999999999999999E-2</v>
      </c>
      <c r="N168" t="str">
        <f>IF(AND(K168&lt;&gt;"East",GETPIVOTDATA("amount_inr",'Daily Totals'!$A$4,"merchant_name",J168,"Days (transaction_time)",TEXT(D168,"dd-mmm"))&gt;5000),"High-Value Merchant Day", "Normal")</f>
        <v>High-Value Merchant Day</v>
      </c>
    </row>
    <row r="169" spans="1:14" x14ac:dyDescent="0.3">
      <c r="A169" t="s">
        <v>182</v>
      </c>
      <c r="B169">
        <v>326</v>
      </c>
      <c r="C169">
        <v>30</v>
      </c>
      <c r="D169" s="1">
        <v>46030.836111111108</v>
      </c>
      <c r="E169" s="8">
        <f t="shared" si="2"/>
        <v>46030</v>
      </c>
      <c r="F169">
        <v>99</v>
      </c>
      <c r="G169" t="s">
        <v>24</v>
      </c>
      <c r="H169" t="s">
        <v>10</v>
      </c>
      <c r="I169">
        <v>89</v>
      </c>
      <c r="J169" t="str">
        <f>_xlfn.IFNA(VLOOKUP(C169,merchants!$A$2:$D$41,2,FALSE),"Merchant not found")</f>
        <v>Merchant_030</v>
      </c>
      <c r="K169" t="str">
        <f>_xlfn.IFNA(VLOOKUP(C169,merchants!$A$2:$D$41,3,FALSE),"Merchant not found")</f>
        <v>travel</v>
      </c>
      <c r="L169" t="str">
        <f>_xlfn.IFNA(VLOOKUP(C169,merchants!$A$2:$D$41,4,FALSE),"Merchant not found")</f>
        <v>West</v>
      </c>
      <c r="M169" s="2">
        <f>HLOOKUP(G169,Fees!$B$1:$E$2,2,FALSE)</f>
        <v>0.02</v>
      </c>
      <c r="N169" t="str">
        <f>IF(AND(K169&lt;&gt;"East",GETPIVOTDATA("amount_inr",'Daily Totals'!$A$4,"merchant_name",J169,"Days (transaction_time)",TEXT(D169,"dd-mmm"))&gt;5000),"High-Value Merchant Day", "Normal")</f>
        <v>Normal</v>
      </c>
    </row>
    <row r="170" spans="1:14" x14ac:dyDescent="0.3">
      <c r="A170" t="s">
        <v>183</v>
      </c>
      <c r="B170">
        <v>60</v>
      </c>
      <c r="C170">
        <v>9</v>
      </c>
      <c r="D170" s="1">
        <v>46032.851388888892</v>
      </c>
      <c r="E170" s="8">
        <f t="shared" si="2"/>
        <v>46032</v>
      </c>
      <c r="F170">
        <v>49</v>
      </c>
      <c r="G170" t="s">
        <v>15</v>
      </c>
      <c r="H170" t="s">
        <v>10</v>
      </c>
      <c r="I170">
        <v>5</v>
      </c>
      <c r="J170" t="str">
        <f>_xlfn.IFNA(VLOOKUP(C170,merchants!$A$2:$D$41,2,FALSE),"Merchant not found")</f>
        <v>Merchant_009</v>
      </c>
      <c r="K170" t="str">
        <f>_xlfn.IFNA(VLOOKUP(C170,merchants!$A$2:$D$41,3,FALSE),"Merchant not found")</f>
        <v>ecommerce</v>
      </c>
      <c r="L170" t="str">
        <f>_xlfn.IFNA(VLOOKUP(C170,merchants!$A$2:$D$41,4,FALSE),"Merchant not found")</f>
        <v>North</v>
      </c>
      <c r="M170" s="2">
        <f>HLOOKUP(G170,Fees!$B$1:$E$2,2,FALSE)</f>
        <v>0.01</v>
      </c>
      <c r="N170" t="str">
        <f>IF(AND(K170&lt;&gt;"East",GETPIVOTDATA("amount_inr",'Daily Totals'!$A$4,"merchant_name",J170,"Days (transaction_time)",TEXT(D170,"dd-mmm"))&gt;5000),"High-Value Merchant Day", "Normal")</f>
        <v>Normal</v>
      </c>
    </row>
    <row r="171" spans="1:14" x14ac:dyDescent="0.3">
      <c r="A171" t="s">
        <v>184</v>
      </c>
      <c r="B171">
        <v>60</v>
      </c>
      <c r="C171">
        <v>7</v>
      </c>
      <c r="D171" s="1">
        <v>46024.396527777775</v>
      </c>
      <c r="E171" s="8">
        <f t="shared" si="2"/>
        <v>46024</v>
      </c>
      <c r="F171">
        <v>2999</v>
      </c>
      <c r="G171" t="s">
        <v>9</v>
      </c>
      <c r="H171" t="s">
        <v>10</v>
      </c>
      <c r="I171">
        <v>30</v>
      </c>
      <c r="J171" t="str">
        <f>_xlfn.IFNA(VLOOKUP(C171,merchants!$A$2:$D$41,2,FALSE),"Merchant not found")</f>
        <v>Merchant_007</v>
      </c>
      <c r="K171" t="str">
        <f>_xlfn.IFNA(VLOOKUP(C171,merchants!$A$2:$D$41,3,FALSE),"Merchant not found")</f>
        <v>food_delivery</v>
      </c>
      <c r="L171" t="str">
        <f>_xlfn.IFNA(VLOOKUP(C171,merchants!$A$2:$D$41,4,FALSE),"Merchant not found")</f>
        <v>East</v>
      </c>
      <c r="M171" s="2">
        <f>HLOOKUP(G171,Fees!$B$1:$E$2,2,FALSE)</f>
        <v>1.4999999999999999E-2</v>
      </c>
      <c r="N171" t="str">
        <f>IF(AND(K171&lt;&gt;"East",GETPIVOTDATA("amount_inr",'Daily Totals'!$A$4,"merchant_name",J171,"Days (transaction_time)",TEXT(D171,"dd-mmm"))&gt;5000),"High-Value Merchant Day", "Normal")</f>
        <v>Normal</v>
      </c>
    </row>
    <row r="172" spans="1:14" x14ac:dyDescent="0.3">
      <c r="A172" t="s">
        <v>185</v>
      </c>
      <c r="B172">
        <v>199</v>
      </c>
      <c r="C172">
        <v>30</v>
      </c>
      <c r="D172" s="1">
        <v>46051.713888888888</v>
      </c>
      <c r="E172" s="8">
        <f t="shared" si="2"/>
        <v>46051</v>
      </c>
      <c r="F172">
        <v>149</v>
      </c>
      <c r="G172" t="s">
        <v>15</v>
      </c>
      <c r="H172" t="s">
        <v>10</v>
      </c>
      <c r="I172">
        <v>47</v>
      </c>
      <c r="J172" t="str">
        <f>_xlfn.IFNA(VLOOKUP(C172,merchants!$A$2:$D$41,2,FALSE),"Merchant not found")</f>
        <v>Merchant_030</v>
      </c>
      <c r="K172" t="str">
        <f>_xlfn.IFNA(VLOOKUP(C172,merchants!$A$2:$D$41,3,FALSE),"Merchant not found")</f>
        <v>travel</v>
      </c>
      <c r="L172" t="str">
        <f>_xlfn.IFNA(VLOOKUP(C172,merchants!$A$2:$D$41,4,FALSE),"Merchant not found")</f>
        <v>West</v>
      </c>
      <c r="M172" s="2">
        <f>HLOOKUP(G172,Fees!$B$1:$E$2,2,FALSE)</f>
        <v>0.01</v>
      </c>
      <c r="N172" t="str">
        <f>IF(AND(K172&lt;&gt;"East",GETPIVOTDATA("amount_inr",'Daily Totals'!$A$4,"merchant_name",J172,"Days (transaction_time)",TEXT(D172,"dd-mmm"))&gt;5000),"High-Value Merchant Day", "Normal")</f>
        <v>Normal</v>
      </c>
    </row>
    <row r="173" spans="1:14" x14ac:dyDescent="0.3">
      <c r="A173" t="s">
        <v>186</v>
      </c>
      <c r="B173">
        <v>277</v>
      </c>
      <c r="C173">
        <v>27</v>
      </c>
      <c r="D173" s="1">
        <v>46044.988888888889</v>
      </c>
      <c r="E173" s="8">
        <f t="shared" si="2"/>
        <v>46044</v>
      </c>
      <c r="F173">
        <v>49</v>
      </c>
      <c r="G173" t="s">
        <v>12</v>
      </c>
      <c r="H173" t="s">
        <v>10</v>
      </c>
      <c r="I173">
        <v>75</v>
      </c>
      <c r="J173" t="str">
        <f>_xlfn.IFNA(VLOOKUP(C173,merchants!$A$2:$D$41,2,FALSE),"Merchant not found")</f>
        <v>Merchant_027</v>
      </c>
      <c r="K173" t="str">
        <f>_xlfn.IFNA(VLOOKUP(C173,merchants!$A$2:$D$41,3,FALSE),"Merchant not found")</f>
        <v>ecommerce</v>
      </c>
      <c r="L173" t="str">
        <f>_xlfn.IFNA(VLOOKUP(C173,merchants!$A$2:$D$41,4,FALSE),"Merchant not found")</f>
        <v>North</v>
      </c>
      <c r="M173" s="2">
        <f>HLOOKUP(G173,Fees!$B$1:$E$2,2,FALSE)</f>
        <v>0</v>
      </c>
      <c r="N173" t="str">
        <f>IF(AND(K173&lt;&gt;"East",GETPIVOTDATA("amount_inr",'Daily Totals'!$A$4,"merchant_name",J173,"Days (transaction_time)",TEXT(D173,"dd-mmm"))&gt;5000),"High-Value Merchant Day", "Normal")</f>
        <v>Normal</v>
      </c>
    </row>
    <row r="174" spans="1:14" x14ac:dyDescent="0.3">
      <c r="A174" t="s">
        <v>187</v>
      </c>
      <c r="B174">
        <v>213</v>
      </c>
      <c r="C174">
        <v>7</v>
      </c>
      <c r="D174" s="1">
        <v>46046.964583333334</v>
      </c>
      <c r="E174" s="8">
        <f t="shared" si="2"/>
        <v>46046</v>
      </c>
      <c r="F174">
        <v>799</v>
      </c>
      <c r="G174" t="s">
        <v>15</v>
      </c>
      <c r="H174" t="s">
        <v>10</v>
      </c>
      <c r="I174">
        <v>62</v>
      </c>
      <c r="J174" t="str">
        <f>_xlfn.IFNA(VLOOKUP(C174,merchants!$A$2:$D$41,2,FALSE),"Merchant not found")</f>
        <v>Merchant_007</v>
      </c>
      <c r="K174" t="str">
        <f>_xlfn.IFNA(VLOOKUP(C174,merchants!$A$2:$D$41,3,FALSE),"Merchant not found")</f>
        <v>food_delivery</v>
      </c>
      <c r="L174" t="str">
        <f>_xlfn.IFNA(VLOOKUP(C174,merchants!$A$2:$D$41,4,FALSE),"Merchant not found")</f>
        <v>East</v>
      </c>
      <c r="M174" s="2">
        <f>HLOOKUP(G174,Fees!$B$1:$E$2,2,FALSE)</f>
        <v>0.01</v>
      </c>
      <c r="N174" t="str">
        <f>IF(AND(K174&lt;&gt;"East",GETPIVOTDATA("amount_inr",'Daily Totals'!$A$4,"merchant_name",J174,"Days (transaction_time)",TEXT(D174,"dd-mmm"))&gt;5000),"High-Value Merchant Day", "Normal")</f>
        <v>Normal</v>
      </c>
    </row>
    <row r="175" spans="1:14" x14ac:dyDescent="0.3">
      <c r="A175" t="s">
        <v>188</v>
      </c>
      <c r="B175">
        <v>17</v>
      </c>
      <c r="C175">
        <v>24</v>
      </c>
      <c r="D175" s="1">
        <v>46042.553472222222</v>
      </c>
      <c r="E175" s="8">
        <f t="shared" si="2"/>
        <v>46042</v>
      </c>
      <c r="F175">
        <v>299</v>
      </c>
      <c r="G175" t="s">
        <v>12</v>
      </c>
      <c r="H175" t="s">
        <v>10</v>
      </c>
      <c r="I175">
        <v>27</v>
      </c>
      <c r="J175" t="str">
        <f>_xlfn.IFNA(VLOOKUP(C175,merchants!$A$2:$D$41,2,FALSE),"Merchant not found")</f>
        <v>Merchant_024</v>
      </c>
      <c r="K175" t="str">
        <f>_xlfn.IFNA(VLOOKUP(C175,merchants!$A$2:$D$41,3,FALSE),"Merchant not found")</f>
        <v>grocery</v>
      </c>
      <c r="L175" t="str">
        <f>_xlfn.IFNA(VLOOKUP(C175,merchants!$A$2:$D$41,4,FALSE),"Merchant not found")</f>
        <v>North</v>
      </c>
      <c r="M175" s="2">
        <f>HLOOKUP(G175,Fees!$B$1:$E$2,2,FALSE)</f>
        <v>0</v>
      </c>
      <c r="N175" t="str">
        <f>IF(AND(K175&lt;&gt;"East",GETPIVOTDATA("amount_inr",'Daily Totals'!$A$4,"merchant_name",J175,"Days (transaction_time)",TEXT(D175,"dd-mmm"))&gt;5000),"High-Value Merchant Day", "Normal")</f>
        <v>Normal</v>
      </c>
    </row>
    <row r="176" spans="1:14" x14ac:dyDescent="0.3">
      <c r="A176" t="s">
        <v>189</v>
      </c>
      <c r="B176">
        <v>186</v>
      </c>
      <c r="C176">
        <v>7</v>
      </c>
      <c r="D176" s="1">
        <v>46037.59375</v>
      </c>
      <c r="E176" s="8">
        <f t="shared" si="2"/>
        <v>46037</v>
      </c>
      <c r="F176">
        <v>1499</v>
      </c>
      <c r="G176" t="s">
        <v>24</v>
      </c>
      <c r="H176" t="s">
        <v>25</v>
      </c>
      <c r="I176">
        <v>87</v>
      </c>
      <c r="J176" t="str">
        <f>_xlfn.IFNA(VLOOKUP(C176,merchants!$A$2:$D$41,2,FALSE),"Merchant not found")</f>
        <v>Merchant_007</v>
      </c>
      <c r="K176" t="str">
        <f>_xlfn.IFNA(VLOOKUP(C176,merchants!$A$2:$D$41,3,FALSE),"Merchant not found")</f>
        <v>food_delivery</v>
      </c>
      <c r="L176" t="str">
        <f>_xlfn.IFNA(VLOOKUP(C176,merchants!$A$2:$D$41,4,FALSE),"Merchant not found")</f>
        <v>East</v>
      </c>
      <c r="M176" s="2">
        <f>HLOOKUP(G176,Fees!$B$1:$E$2,2,FALSE)</f>
        <v>0.02</v>
      </c>
      <c r="N176" t="str">
        <f>IF(AND(K176&lt;&gt;"East",GETPIVOTDATA("amount_inr",'Daily Totals'!$A$4,"merchant_name",J176,"Days (transaction_time)",TEXT(D176,"dd-mmm"))&gt;5000),"High-Value Merchant Day", "Normal")</f>
        <v>Normal</v>
      </c>
    </row>
    <row r="177" spans="1:14" x14ac:dyDescent="0.3">
      <c r="A177" t="s">
        <v>190</v>
      </c>
      <c r="B177">
        <v>331</v>
      </c>
      <c r="C177">
        <v>23</v>
      </c>
      <c r="D177" s="1">
        <v>46034.747916666667</v>
      </c>
      <c r="E177" s="8">
        <f t="shared" si="2"/>
        <v>46034</v>
      </c>
      <c r="F177">
        <v>149</v>
      </c>
      <c r="G177" t="s">
        <v>12</v>
      </c>
      <c r="H177" t="s">
        <v>10</v>
      </c>
      <c r="I177">
        <v>7</v>
      </c>
      <c r="J177" t="str">
        <f>_xlfn.IFNA(VLOOKUP(C177,merchants!$A$2:$D$41,2,FALSE),"Merchant not found")</f>
        <v>Merchant_023</v>
      </c>
      <c r="K177" t="str">
        <f>_xlfn.IFNA(VLOOKUP(C177,merchants!$A$2:$D$41,3,FALSE),"Merchant not found")</f>
        <v>travel</v>
      </c>
      <c r="L177" t="str">
        <f>_xlfn.IFNA(VLOOKUP(C177,merchants!$A$2:$D$41,4,FALSE),"Merchant not found")</f>
        <v>North</v>
      </c>
      <c r="M177" s="2">
        <f>HLOOKUP(G177,Fees!$B$1:$E$2,2,FALSE)</f>
        <v>0</v>
      </c>
      <c r="N177" t="str">
        <f>IF(AND(K177&lt;&gt;"East",GETPIVOTDATA("amount_inr",'Daily Totals'!$A$4,"merchant_name",J177,"Days (transaction_time)",TEXT(D177,"dd-mmm"))&gt;5000),"High-Value Merchant Day", "Normal")</f>
        <v>Normal</v>
      </c>
    </row>
    <row r="178" spans="1:14" x14ac:dyDescent="0.3">
      <c r="A178" t="s">
        <v>191</v>
      </c>
      <c r="B178">
        <v>63</v>
      </c>
      <c r="C178">
        <v>30</v>
      </c>
      <c r="D178" s="1">
        <v>46035.341666666667</v>
      </c>
      <c r="E178" s="8">
        <f t="shared" si="2"/>
        <v>46035</v>
      </c>
      <c r="F178">
        <v>1499</v>
      </c>
      <c r="G178" t="s">
        <v>24</v>
      </c>
      <c r="H178" t="s">
        <v>10</v>
      </c>
      <c r="I178">
        <v>11</v>
      </c>
      <c r="J178" t="str">
        <f>_xlfn.IFNA(VLOOKUP(C178,merchants!$A$2:$D$41,2,FALSE),"Merchant not found")</f>
        <v>Merchant_030</v>
      </c>
      <c r="K178" t="str">
        <f>_xlfn.IFNA(VLOOKUP(C178,merchants!$A$2:$D$41,3,FALSE),"Merchant not found")</f>
        <v>travel</v>
      </c>
      <c r="L178" t="str">
        <f>_xlfn.IFNA(VLOOKUP(C178,merchants!$A$2:$D$41,4,FALSE),"Merchant not found")</f>
        <v>West</v>
      </c>
      <c r="M178" s="2">
        <f>HLOOKUP(G178,Fees!$B$1:$E$2,2,FALSE)</f>
        <v>0.02</v>
      </c>
      <c r="N178" t="str">
        <f>IF(AND(K178&lt;&gt;"East",GETPIVOTDATA("amount_inr",'Daily Totals'!$A$4,"merchant_name",J178,"Days (transaction_time)",TEXT(D178,"dd-mmm"))&gt;5000),"High-Value Merchant Day", "Normal")</f>
        <v>Normal</v>
      </c>
    </row>
    <row r="179" spans="1:14" x14ac:dyDescent="0.3">
      <c r="A179" t="s">
        <v>192</v>
      </c>
      <c r="B179">
        <v>328</v>
      </c>
      <c r="C179">
        <v>39</v>
      </c>
      <c r="D179" s="1">
        <v>46044.27847222222</v>
      </c>
      <c r="E179" s="8">
        <f t="shared" si="2"/>
        <v>46044</v>
      </c>
      <c r="F179">
        <v>4999</v>
      </c>
      <c r="G179" t="s">
        <v>9</v>
      </c>
      <c r="H179" t="s">
        <v>38</v>
      </c>
      <c r="I179">
        <v>2</v>
      </c>
      <c r="J179" t="str">
        <f>_xlfn.IFNA(VLOOKUP(C179,merchants!$A$2:$D$41,2,FALSE),"Merchant not found")</f>
        <v>Merchant_039</v>
      </c>
      <c r="K179" t="str">
        <f>_xlfn.IFNA(VLOOKUP(C179,merchants!$A$2:$D$41,3,FALSE),"Merchant not found")</f>
        <v>entertainment</v>
      </c>
      <c r="L179" t="str">
        <f>_xlfn.IFNA(VLOOKUP(C179,merchants!$A$2:$D$41,4,FALSE),"Merchant not found")</f>
        <v>North</v>
      </c>
      <c r="M179" s="2">
        <f>HLOOKUP(G179,Fees!$B$1:$E$2,2,FALSE)</f>
        <v>1.4999999999999999E-2</v>
      </c>
      <c r="N179" t="str">
        <f>IF(AND(K179&lt;&gt;"East",GETPIVOTDATA("amount_inr",'Daily Totals'!$A$4,"merchant_name",J179,"Days (transaction_time)",TEXT(D179,"dd-mmm"))&gt;5000),"High-Value Merchant Day", "Normal")</f>
        <v>High-Value Merchant Day</v>
      </c>
    </row>
    <row r="180" spans="1:14" x14ac:dyDescent="0.3">
      <c r="A180" t="s">
        <v>193</v>
      </c>
      <c r="B180">
        <v>65</v>
      </c>
      <c r="C180">
        <v>37</v>
      </c>
      <c r="D180" s="1">
        <v>46024.427083333336</v>
      </c>
      <c r="E180" s="8">
        <f t="shared" si="2"/>
        <v>46024</v>
      </c>
      <c r="F180">
        <v>2999</v>
      </c>
      <c r="G180" t="s">
        <v>24</v>
      </c>
      <c r="H180" t="s">
        <v>10</v>
      </c>
      <c r="I180">
        <v>26</v>
      </c>
      <c r="J180" t="str">
        <f>_xlfn.IFNA(VLOOKUP(C180,merchants!$A$2:$D$41,2,FALSE),"Merchant not found")</f>
        <v>Merchant_037</v>
      </c>
      <c r="K180" t="str">
        <f>_xlfn.IFNA(VLOOKUP(C180,merchants!$A$2:$D$41,3,FALSE),"Merchant not found")</f>
        <v>entertainment</v>
      </c>
      <c r="L180" t="str">
        <f>_xlfn.IFNA(VLOOKUP(C180,merchants!$A$2:$D$41,4,FALSE),"Merchant not found")</f>
        <v>South</v>
      </c>
      <c r="M180" s="2">
        <f>HLOOKUP(G180,Fees!$B$1:$E$2,2,FALSE)</f>
        <v>0.02</v>
      </c>
      <c r="N180" t="str">
        <f>IF(AND(K180&lt;&gt;"East",GETPIVOTDATA("amount_inr",'Daily Totals'!$A$4,"merchant_name",J180,"Days (transaction_time)",TEXT(D180,"dd-mmm"))&gt;5000),"High-Value Merchant Day", "Normal")</f>
        <v>Normal</v>
      </c>
    </row>
    <row r="181" spans="1:14" x14ac:dyDescent="0.3">
      <c r="A181" t="s">
        <v>194</v>
      </c>
      <c r="B181">
        <v>301</v>
      </c>
      <c r="C181">
        <v>14</v>
      </c>
      <c r="D181" s="1">
        <v>46025.717361111114</v>
      </c>
      <c r="E181" s="8">
        <f t="shared" si="2"/>
        <v>46025</v>
      </c>
      <c r="F181">
        <v>149</v>
      </c>
      <c r="G181" t="s">
        <v>12</v>
      </c>
      <c r="H181" t="s">
        <v>10</v>
      </c>
      <c r="I181">
        <v>29</v>
      </c>
      <c r="J181" t="str">
        <f>_xlfn.IFNA(VLOOKUP(C181,merchants!$A$2:$D$41,2,FALSE),"Merchant not found")</f>
        <v>Merchant_014</v>
      </c>
      <c r="K181" t="str">
        <f>_xlfn.IFNA(VLOOKUP(C181,merchants!$A$2:$D$41,3,FALSE),"Merchant not found")</f>
        <v>grocery</v>
      </c>
      <c r="L181" t="str">
        <f>_xlfn.IFNA(VLOOKUP(C181,merchants!$A$2:$D$41,4,FALSE),"Merchant not found")</f>
        <v>East</v>
      </c>
      <c r="M181" s="2">
        <f>HLOOKUP(G181,Fees!$B$1:$E$2,2,FALSE)</f>
        <v>0</v>
      </c>
      <c r="N181" t="str">
        <f>IF(AND(K181&lt;&gt;"East",GETPIVOTDATA("amount_inr",'Daily Totals'!$A$4,"merchant_name",J181,"Days (transaction_time)",TEXT(D181,"dd-mmm"))&gt;5000),"High-Value Merchant Day", "Normal")</f>
        <v>Normal</v>
      </c>
    </row>
    <row r="182" spans="1:14" x14ac:dyDescent="0.3">
      <c r="A182" t="s">
        <v>195</v>
      </c>
      <c r="B182">
        <v>306</v>
      </c>
      <c r="C182">
        <v>1</v>
      </c>
      <c r="D182" s="1">
        <v>46033.201388888891</v>
      </c>
      <c r="E182" s="8">
        <f t="shared" si="2"/>
        <v>46033</v>
      </c>
      <c r="F182">
        <v>299</v>
      </c>
      <c r="G182" t="s">
        <v>12</v>
      </c>
      <c r="H182" t="s">
        <v>25</v>
      </c>
      <c r="I182">
        <v>35</v>
      </c>
      <c r="J182" t="str">
        <f>_xlfn.IFNA(VLOOKUP(C182,merchants!$A$2:$D$41,2,FALSE),"Merchant not found")</f>
        <v>Merchant_001</v>
      </c>
      <c r="K182" t="str">
        <f>_xlfn.IFNA(VLOOKUP(C182,merchants!$A$2:$D$41,3,FALSE),"Merchant not found")</f>
        <v>ecommerce</v>
      </c>
      <c r="L182" t="str">
        <f>_xlfn.IFNA(VLOOKUP(C182,merchants!$A$2:$D$41,4,FALSE),"Merchant not found")</f>
        <v>South</v>
      </c>
      <c r="M182" s="2">
        <f>HLOOKUP(G182,Fees!$B$1:$E$2,2,FALSE)</f>
        <v>0</v>
      </c>
      <c r="N182" t="str">
        <f>IF(AND(K182&lt;&gt;"East",GETPIVOTDATA("amount_inr",'Daily Totals'!$A$4,"merchant_name",J182,"Days (transaction_time)",TEXT(D182,"dd-mmm"))&gt;5000),"High-Value Merchant Day", "Normal")</f>
        <v>Normal</v>
      </c>
    </row>
    <row r="183" spans="1:14" x14ac:dyDescent="0.3">
      <c r="A183" t="s">
        <v>196</v>
      </c>
      <c r="B183">
        <v>277</v>
      </c>
      <c r="C183">
        <v>17</v>
      </c>
      <c r="D183" s="1">
        <v>46050.172222222223</v>
      </c>
      <c r="E183" s="8">
        <f t="shared" si="2"/>
        <v>46050</v>
      </c>
      <c r="F183">
        <v>299</v>
      </c>
      <c r="G183" t="s">
        <v>12</v>
      </c>
      <c r="H183" t="s">
        <v>10</v>
      </c>
      <c r="I183">
        <v>22</v>
      </c>
      <c r="J183" t="str">
        <f>_xlfn.IFNA(VLOOKUP(C183,merchants!$A$2:$D$41,2,FALSE),"Merchant not found")</f>
        <v>Merchant_017</v>
      </c>
      <c r="K183" t="str">
        <f>_xlfn.IFNA(VLOOKUP(C183,merchants!$A$2:$D$41,3,FALSE),"Merchant not found")</f>
        <v>grocery</v>
      </c>
      <c r="L183" t="str">
        <f>_xlfn.IFNA(VLOOKUP(C183,merchants!$A$2:$D$41,4,FALSE),"Merchant not found")</f>
        <v>North</v>
      </c>
      <c r="M183" s="2">
        <f>HLOOKUP(G183,Fees!$B$1:$E$2,2,FALSE)</f>
        <v>0</v>
      </c>
      <c r="N183" t="str">
        <f>IF(AND(K183&lt;&gt;"East",GETPIVOTDATA("amount_inr",'Daily Totals'!$A$4,"merchant_name",J183,"Days (transaction_time)",TEXT(D183,"dd-mmm"))&gt;5000),"High-Value Merchant Day", "Normal")</f>
        <v>Normal</v>
      </c>
    </row>
    <row r="184" spans="1:14" x14ac:dyDescent="0.3">
      <c r="A184" t="s">
        <v>197</v>
      </c>
      <c r="B184">
        <v>14</v>
      </c>
      <c r="C184">
        <v>9</v>
      </c>
      <c r="D184" s="1">
        <v>46026.913194444445</v>
      </c>
      <c r="E184" s="8">
        <f t="shared" si="2"/>
        <v>46026</v>
      </c>
      <c r="F184">
        <v>499</v>
      </c>
      <c r="G184" t="s">
        <v>12</v>
      </c>
      <c r="H184" t="s">
        <v>10</v>
      </c>
      <c r="I184">
        <v>1</v>
      </c>
      <c r="J184" t="str">
        <f>_xlfn.IFNA(VLOOKUP(C184,merchants!$A$2:$D$41,2,FALSE),"Merchant not found")</f>
        <v>Merchant_009</v>
      </c>
      <c r="K184" t="str">
        <f>_xlfn.IFNA(VLOOKUP(C184,merchants!$A$2:$D$41,3,FALSE),"Merchant not found")</f>
        <v>ecommerce</v>
      </c>
      <c r="L184" t="str">
        <f>_xlfn.IFNA(VLOOKUP(C184,merchants!$A$2:$D$41,4,FALSE),"Merchant not found")</f>
        <v>North</v>
      </c>
      <c r="M184" s="2">
        <f>HLOOKUP(G184,Fees!$B$1:$E$2,2,FALSE)</f>
        <v>0</v>
      </c>
      <c r="N184" t="str">
        <f>IF(AND(K184&lt;&gt;"East",GETPIVOTDATA("amount_inr",'Daily Totals'!$A$4,"merchant_name",J184,"Days (transaction_time)",TEXT(D184,"dd-mmm"))&gt;5000),"High-Value Merchant Day", "Normal")</f>
        <v>Normal</v>
      </c>
    </row>
    <row r="185" spans="1:14" x14ac:dyDescent="0.3">
      <c r="A185" t="s">
        <v>198</v>
      </c>
      <c r="B185">
        <v>166</v>
      </c>
      <c r="C185">
        <v>2</v>
      </c>
      <c r="D185" s="1">
        <v>46034.317361111112</v>
      </c>
      <c r="E185" s="8">
        <f t="shared" si="2"/>
        <v>46034</v>
      </c>
      <c r="F185">
        <v>299</v>
      </c>
      <c r="G185" t="s">
        <v>24</v>
      </c>
      <c r="H185" t="s">
        <v>10</v>
      </c>
      <c r="I185">
        <v>22</v>
      </c>
      <c r="J185" t="str">
        <f>_xlfn.IFNA(VLOOKUP(C185,merchants!$A$2:$D$41,2,FALSE),"Merchant not found")</f>
        <v>Merchant_002</v>
      </c>
      <c r="K185" t="str">
        <f>_xlfn.IFNA(VLOOKUP(C185,merchants!$A$2:$D$41,3,FALSE),"Merchant not found")</f>
        <v>grocery</v>
      </c>
      <c r="L185" t="str">
        <f>_xlfn.IFNA(VLOOKUP(C185,merchants!$A$2:$D$41,4,FALSE),"Merchant not found")</f>
        <v>West</v>
      </c>
      <c r="M185" s="2">
        <f>HLOOKUP(G185,Fees!$B$1:$E$2,2,FALSE)</f>
        <v>0.02</v>
      </c>
      <c r="N185" t="str">
        <f>IF(AND(K185&lt;&gt;"East",GETPIVOTDATA("amount_inr",'Daily Totals'!$A$4,"merchant_name",J185,"Days (transaction_time)",TEXT(D185,"dd-mmm"))&gt;5000),"High-Value Merchant Day", "Normal")</f>
        <v>Normal</v>
      </c>
    </row>
    <row r="186" spans="1:14" x14ac:dyDescent="0.3">
      <c r="A186" t="s">
        <v>199</v>
      </c>
      <c r="B186">
        <v>216</v>
      </c>
      <c r="C186">
        <v>34</v>
      </c>
      <c r="D186" s="1">
        <v>46031.047222222223</v>
      </c>
      <c r="E186" s="8">
        <f t="shared" si="2"/>
        <v>46031</v>
      </c>
      <c r="F186">
        <v>299</v>
      </c>
      <c r="G186" t="s">
        <v>24</v>
      </c>
      <c r="H186" t="s">
        <v>10</v>
      </c>
      <c r="I186">
        <v>14</v>
      </c>
      <c r="J186" t="str">
        <f>_xlfn.IFNA(VLOOKUP(C186,merchants!$A$2:$D$41,2,FALSE),"Merchant not found")</f>
        <v>Merchant_034</v>
      </c>
      <c r="K186" t="str">
        <f>_xlfn.IFNA(VLOOKUP(C186,merchants!$A$2:$D$41,3,FALSE),"Merchant not found")</f>
        <v>travel</v>
      </c>
      <c r="L186" t="str">
        <f>_xlfn.IFNA(VLOOKUP(C186,merchants!$A$2:$D$41,4,FALSE),"Merchant not found")</f>
        <v>South</v>
      </c>
      <c r="M186" s="2">
        <f>HLOOKUP(G186,Fees!$B$1:$E$2,2,FALSE)</f>
        <v>0.02</v>
      </c>
      <c r="N186" t="str">
        <f>IF(AND(K186&lt;&gt;"East",GETPIVOTDATA("amount_inr",'Daily Totals'!$A$4,"merchant_name",J186,"Days (transaction_time)",TEXT(D186,"dd-mmm"))&gt;5000),"High-Value Merchant Day", "Normal")</f>
        <v>Normal</v>
      </c>
    </row>
    <row r="187" spans="1:14" x14ac:dyDescent="0.3">
      <c r="A187" t="s">
        <v>200</v>
      </c>
      <c r="B187">
        <v>230</v>
      </c>
      <c r="C187">
        <v>24</v>
      </c>
      <c r="D187" s="1">
        <v>46046.104166666664</v>
      </c>
      <c r="E187" s="8">
        <f t="shared" si="2"/>
        <v>46046</v>
      </c>
      <c r="F187">
        <v>49</v>
      </c>
      <c r="G187" t="s">
        <v>12</v>
      </c>
      <c r="H187" t="s">
        <v>10</v>
      </c>
      <c r="I187">
        <v>65</v>
      </c>
      <c r="J187" t="str">
        <f>_xlfn.IFNA(VLOOKUP(C187,merchants!$A$2:$D$41,2,FALSE),"Merchant not found")</f>
        <v>Merchant_024</v>
      </c>
      <c r="K187" t="str">
        <f>_xlfn.IFNA(VLOOKUP(C187,merchants!$A$2:$D$41,3,FALSE),"Merchant not found")</f>
        <v>grocery</v>
      </c>
      <c r="L187" t="str">
        <f>_xlfn.IFNA(VLOOKUP(C187,merchants!$A$2:$D$41,4,FALSE),"Merchant not found")</f>
        <v>North</v>
      </c>
      <c r="M187" s="2">
        <f>HLOOKUP(G187,Fees!$B$1:$E$2,2,FALSE)</f>
        <v>0</v>
      </c>
      <c r="N187" t="str">
        <f>IF(AND(K187&lt;&gt;"East",GETPIVOTDATA("amount_inr",'Daily Totals'!$A$4,"merchant_name",J187,"Days (transaction_time)",TEXT(D187,"dd-mmm"))&gt;5000),"High-Value Merchant Day", "Normal")</f>
        <v>Normal</v>
      </c>
    </row>
    <row r="188" spans="1:14" x14ac:dyDescent="0.3">
      <c r="A188" t="s">
        <v>201</v>
      </c>
      <c r="B188">
        <v>258</v>
      </c>
      <c r="C188">
        <v>15</v>
      </c>
      <c r="D188" s="1">
        <v>46041.144444444442</v>
      </c>
      <c r="E188" s="8">
        <f t="shared" si="2"/>
        <v>46041</v>
      </c>
      <c r="F188">
        <v>499</v>
      </c>
      <c r="G188" t="s">
        <v>9</v>
      </c>
      <c r="H188" t="s">
        <v>10</v>
      </c>
      <c r="I188">
        <v>78</v>
      </c>
      <c r="J188" t="str">
        <f>_xlfn.IFNA(VLOOKUP(C188,merchants!$A$2:$D$41,2,FALSE),"Merchant not found")</f>
        <v>Merchant_015</v>
      </c>
      <c r="K188" t="str">
        <f>_xlfn.IFNA(VLOOKUP(C188,merchants!$A$2:$D$41,3,FALSE),"Merchant not found")</f>
        <v>travel</v>
      </c>
      <c r="L188" t="str">
        <f>_xlfn.IFNA(VLOOKUP(C188,merchants!$A$2:$D$41,4,FALSE),"Merchant not found")</f>
        <v>North</v>
      </c>
      <c r="M188" s="2">
        <f>HLOOKUP(G188,Fees!$B$1:$E$2,2,FALSE)</f>
        <v>1.4999999999999999E-2</v>
      </c>
      <c r="N188" t="str">
        <f>IF(AND(K188&lt;&gt;"East",GETPIVOTDATA("amount_inr",'Daily Totals'!$A$4,"merchant_name",J188,"Days (transaction_time)",TEXT(D188,"dd-mmm"))&gt;5000),"High-Value Merchant Day", "Normal")</f>
        <v>Normal</v>
      </c>
    </row>
    <row r="189" spans="1:14" x14ac:dyDescent="0.3">
      <c r="A189" t="s">
        <v>202</v>
      </c>
      <c r="B189">
        <v>338</v>
      </c>
      <c r="C189">
        <v>34</v>
      </c>
      <c r="D189" s="1">
        <v>46024.993055555555</v>
      </c>
      <c r="E189" s="8">
        <f t="shared" si="2"/>
        <v>46024</v>
      </c>
      <c r="F189">
        <v>49</v>
      </c>
      <c r="G189" t="s">
        <v>12</v>
      </c>
      <c r="H189" t="s">
        <v>10</v>
      </c>
      <c r="I189">
        <v>38</v>
      </c>
      <c r="J189" t="str">
        <f>_xlfn.IFNA(VLOOKUP(C189,merchants!$A$2:$D$41,2,FALSE),"Merchant not found")</f>
        <v>Merchant_034</v>
      </c>
      <c r="K189" t="str">
        <f>_xlfn.IFNA(VLOOKUP(C189,merchants!$A$2:$D$41,3,FALSE),"Merchant not found")</f>
        <v>travel</v>
      </c>
      <c r="L189" t="str">
        <f>_xlfn.IFNA(VLOOKUP(C189,merchants!$A$2:$D$41,4,FALSE),"Merchant not found")</f>
        <v>South</v>
      </c>
      <c r="M189" s="2">
        <f>HLOOKUP(G189,Fees!$B$1:$E$2,2,FALSE)</f>
        <v>0</v>
      </c>
      <c r="N189" t="str">
        <f>IF(AND(K189&lt;&gt;"East",GETPIVOTDATA("amount_inr",'Daily Totals'!$A$4,"merchant_name",J189,"Days (transaction_time)",TEXT(D189,"dd-mmm"))&gt;5000),"High-Value Merchant Day", "Normal")</f>
        <v>Normal</v>
      </c>
    </row>
    <row r="190" spans="1:14" x14ac:dyDescent="0.3">
      <c r="A190" t="s">
        <v>203</v>
      </c>
      <c r="B190">
        <v>32</v>
      </c>
      <c r="C190">
        <v>31</v>
      </c>
      <c r="D190" s="1">
        <v>46037.834027777775</v>
      </c>
      <c r="E190" s="8">
        <f t="shared" si="2"/>
        <v>46037</v>
      </c>
      <c r="F190">
        <v>299</v>
      </c>
      <c r="G190" t="s">
        <v>12</v>
      </c>
      <c r="H190" t="s">
        <v>10</v>
      </c>
      <c r="I190">
        <v>51</v>
      </c>
      <c r="J190" t="str">
        <f>_xlfn.IFNA(VLOOKUP(C190,merchants!$A$2:$D$41,2,FALSE),"Merchant not found")</f>
        <v>Merchant_031</v>
      </c>
      <c r="K190" t="str">
        <f>_xlfn.IFNA(VLOOKUP(C190,merchants!$A$2:$D$41,3,FALSE),"Merchant not found")</f>
        <v>bill_payment</v>
      </c>
      <c r="L190" t="str">
        <f>_xlfn.IFNA(VLOOKUP(C190,merchants!$A$2:$D$41,4,FALSE),"Merchant not found")</f>
        <v>East</v>
      </c>
      <c r="M190" s="2">
        <f>HLOOKUP(G190,Fees!$B$1:$E$2,2,FALSE)</f>
        <v>0</v>
      </c>
      <c r="N190" t="str">
        <f>IF(AND(K190&lt;&gt;"East",GETPIVOTDATA("amount_inr",'Daily Totals'!$A$4,"merchant_name",J190,"Days (transaction_time)",TEXT(D190,"dd-mmm"))&gt;5000),"High-Value Merchant Day", "Normal")</f>
        <v>Normal</v>
      </c>
    </row>
    <row r="191" spans="1:14" x14ac:dyDescent="0.3">
      <c r="A191" t="s">
        <v>204</v>
      </c>
      <c r="B191">
        <v>252</v>
      </c>
      <c r="C191">
        <v>29</v>
      </c>
      <c r="D191" s="1">
        <v>46036.879166666666</v>
      </c>
      <c r="E191" s="8">
        <f t="shared" si="2"/>
        <v>46036</v>
      </c>
      <c r="F191">
        <v>1499</v>
      </c>
      <c r="G191" t="s">
        <v>12</v>
      </c>
      <c r="H191" t="s">
        <v>10</v>
      </c>
      <c r="I191">
        <v>9</v>
      </c>
      <c r="J191" t="str">
        <f>_xlfn.IFNA(VLOOKUP(C191,merchants!$A$2:$D$41,2,FALSE),"Merchant not found")</f>
        <v>Merchant_029</v>
      </c>
      <c r="K191" t="str">
        <f>_xlfn.IFNA(VLOOKUP(C191,merchants!$A$2:$D$41,3,FALSE),"Merchant not found")</f>
        <v>ecommerce</v>
      </c>
      <c r="L191" t="str">
        <f>_xlfn.IFNA(VLOOKUP(C191,merchants!$A$2:$D$41,4,FALSE),"Merchant not found")</f>
        <v>North</v>
      </c>
      <c r="M191" s="2">
        <f>HLOOKUP(G191,Fees!$B$1:$E$2,2,FALSE)</f>
        <v>0</v>
      </c>
      <c r="N191" t="str">
        <f>IF(AND(K191&lt;&gt;"East",GETPIVOTDATA("amount_inr",'Daily Totals'!$A$4,"merchant_name",J191,"Days (transaction_time)",TEXT(D191,"dd-mmm"))&gt;5000),"High-Value Merchant Day", "Normal")</f>
        <v>Normal</v>
      </c>
    </row>
    <row r="192" spans="1:14" x14ac:dyDescent="0.3">
      <c r="A192" t="s">
        <v>205</v>
      </c>
      <c r="B192">
        <v>312</v>
      </c>
      <c r="C192">
        <v>10</v>
      </c>
      <c r="D192" s="1">
        <v>46051.097222222219</v>
      </c>
      <c r="E192" s="8">
        <f t="shared" si="2"/>
        <v>46051</v>
      </c>
      <c r="F192">
        <v>799</v>
      </c>
      <c r="G192" t="s">
        <v>12</v>
      </c>
      <c r="H192" t="s">
        <v>10</v>
      </c>
      <c r="I192">
        <v>8</v>
      </c>
      <c r="J192" t="str">
        <f>_xlfn.IFNA(VLOOKUP(C192,merchants!$A$2:$D$41,2,FALSE),"Merchant not found")</f>
        <v>Merchant_010</v>
      </c>
      <c r="K192" t="str">
        <f>_xlfn.IFNA(VLOOKUP(C192,merchants!$A$2:$D$41,3,FALSE),"Merchant not found")</f>
        <v>grocery</v>
      </c>
      <c r="L192" t="str">
        <f>_xlfn.IFNA(VLOOKUP(C192,merchants!$A$2:$D$41,4,FALSE),"Merchant not found")</f>
        <v>West</v>
      </c>
      <c r="M192" s="2">
        <f>HLOOKUP(G192,Fees!$B$1:$E$2,2,FALSE)</f>
        <v>0</v>
      </c>
      <c r="N192" t="str">
        <f>IF(AND(K192&lt;&gt;"East",GETPIVOTDATA("amount_inr",'Daily Totals'!$A$4,"merchant_name",J192,"Days (transaction_time)",TEXT(D192,"dd-mmm"))&gt;5000),"High-Value Merchant Day", "Normal")</f>
        <v>Normal</v>
      </c>
    </row>
    <row r="193" spans="1:14" x14ac:dyDescent="0.3">
      <c r="A193" t="s">
        <v>206</v>
      </c>
      <c r="B193">
        <v>325</v>
      </c>
      <c r="C193">
        <v>38</v>
      </c>
      <c r="D193" s="1">
        <v>46027.36041666667</v>
      </c>
      <c r="E193" s="8">
        <f t="shared" si="2"/>
        <v>46027</v>
      </c>
      <c r="F193">
        <v>1499</v>
      </c>
      <c r="G193" t="s">
        <v>15</v>
      </c>
      <c r="H193" t="s">
        <v>10</v>
      </c>
      <c r="I193">
        <v>70</v>
      </c>
      <c r="J193" t="str">
        <f>_xlfn.IFNA(VLOOKUP(C193,merchants!$A$2:$D$41,2,FALSE),"Merchant not found")</f>
        <v>Merchant_038</v>
      </c>
      <c r="K193" t="str">
        <f>_xlfn.IFNA(VLOOKUP(C193,merchants!$A$2:$D$41,3,FALSE),"Merchant not found")</f>
        <v>grocery</v>
      </c>
      <c r="L193" t="str">
        <f>_xlfn.IFNA(VLOOKUP(C193,merchants!$A$2:$D$41,4,FALSE),"Merchant not found")</f>
        <v>East</v>
      </c>
      <c r="M193" s="2">
        <f>HLOOKUP(G193,Fees!$B$1:$E$2,2,FALSE)</f>
        <v>0.01</v>
      </c>
      <c r="N193" t="str">
        <f>IF(AND(K193&lt;&gt;"East",GETPIVOTDATA("amount_inr",'Daily Totals'!$A$4,"merchant_name",J193,"Days (transaction_time)",TEXT(D193,"dd-mmm"))&gt;5000),"High-Value Merchant Day", "Normal")</f>
        <v>Normal</v>
      </c>
    </row>
    <row r="194" spans="1:14" x14ac:dyDescent="0.3">
      <c r="A194" t="s">
        <v>207</v>
      </c>
      <c r="B194">
        <v>306</v>
      </c>
      <c r="C194">
        <v>34</v>
      </c>
      <c r="D194" s="1">
        <v>46045.433333333334</v>
      </c>
      <c r="E194" s="8">
        <f t="shared" si="2"/>
        <v>46045</v>
      </c>
      <c r="F194">
        <v>2999</v>
      </c>
      <c r="G194" t="s">
        <v>12</v>
      </c>
      <c r="H194" t="s">
        <v>10</v>
      </c>
      <c r="I194">
        <v>37</v>
      </c>
      <c r="J194" t="str">
        <f>_xlfn.IFNA(VLOOKUP(C194,merchants!$A$2:$D$41,2,FALSE),"Merchant not found")</f>
        <v>Merchant_034</v>
      </c>
      <c r="K194" t="str">
        <f>_xlfn.IFNA(VLOOKUP(C194,merchants!$A$2:$D$41,3,FALSE),"Merchant not found")</f>
        <v>travel</v>
      </c>
      <c r="L194" t="str">
        <f>_xlfn.IFNA(VLOOKUP(C194,merchants!$A$2:$D$41,4,FALSE),"Merchant not found")</f>
        <v>South</v>
      </c>
      <c r="M194" s="2">
        <f>HLOOKUP(G194,Fees!$B$1:$E$2,2,FALSE)</f>
        <v>0</v>
      </c>
      <c r="N194" t="str">
        <f>IF(AND(K194&lt;&gt;"East",GETPIVOTDATA("amount_inr",'Daily Totals'!$A$4,"merchant_name",J194,"Days (transaction_time)",TEXT(D194,"dd-mmm"))&gt;5000),"High-Value Merchant Day", "Normal")</f>
        <v>Normal</v>
      </c>
    </row>
    <row r="195" spans="1:14" x14ac:dyDescent="0.3">
      <c r="A195" t="s">
        <v>208</v>
      </c>
      <c r="B195">
        <v>221</v>
      </c>
      <c r="C195">
        <v>7</v>
      </c>
      <c r="D195" s="1">
        <v>46037.693055555559</v>
      </c>
      <c r="E195" s="8">
        <f t="shared" ref="E195:E258" si="3">INT(D195)</f>
        <v>46037</v>
      </c>
      <c r="F195">
        <v>149</v>
      </c>
      <c r="G195" t="s">
        <v>15</v>
      </c>
      <c r="H195" t="s">
        <v>10</v>
      </c>
      <c r="I195">
        <v>89</v>
      </c>
      <c r="J195" t="str">
        <f>_xlfn.IFNA(VLOOKUP(C195,merchants!$A$2:$D$41,2,FALSE),"Merchant not found")</f>
        <v>Merchant_007</v>
      </c>
      <c r="K195" t="str">
        <f>_xlfn.IFNA(VLOOKUP(C195,merchants!$A$2:$D$41,3,FALSE),"Merchant not found")</f>
        <v>food_delivery</v>
      </c>
      <c r="L195" t="str">
        <f>_xlfn.IFNA(VLOOKUP(C195,merchants!$A$2:$D$41,4,FALSE),"Merchant not found")</f>
        <v>East</v>
      </c>
      <c r="M195" s="2">
        <f>HLOOKUP(G195,Fees!$B$1:$E$2,2,FALSE)</f>
        <v>0.01</v>
      </c>
      <c r="N195" t="str">
        <f>IF(AND(K195&lt;&gt;"East",GETPIVOTDATA("amount_inr",'Daily Totals'!$A$4,"merchant_name",J195,"Days (transaction_time)",TEXT(D195,"dd-mmm"))&gt;5000),"High-Value Merchant Day", "Normal")</f>
        <v>Normal</v>
      </c>
    </row>
    <row r="196" spans="1:14" x14ac:dyDescent="0.3">
      <c r="A196" t="s">
        <v>209</v>
      </c>
      <c r="B196">
        <v>283</v>
      </c>
      <c r="C196">
        <v>14</v>
      </c>
      <c r="D196" s="1">
        <v>46026.861805555556</v>
      </c>
      <c r="E196" s="8">
        <f t="shared" si="3"/>
        <v>46026</v>
      </c>
      <c r="F196">
        <v>99</v>
      </c>
      <c r="G196" t="s">
        <v>9</v>
      </c>
      <c r="H196" t="s">
        <v>10</v>
      </c>
      <c r="I196">
        <v>55</v>
      </c>
      <c r="J196" t="str">
        <f>_xlfn.IFNA(VLOOKUP(C196,merchants!$A$2:$D$41,2,FALSE),"Merchant not found")</f>
        <v>Merchant_014</v>
      </c>
      <c r="K196" t="str">
        <f>_xlfn.IFNA(VLOOKUP(C196,merchants!$A$2:$D$41,3,FALSE),"Merchant not found")</f>
        <v>grocery</v>
      </c>
      <c r="L196" t="str">
        <f>_xlfn.IFNA(VLOOKUP(C196,merchants!$A$2:$D$41,4,FALSE),"Merchant not found")</f>
        <v>East</v>
      </c>
      <c r="M196" s="2">
        <f>HLOOKUP(G196,Fees!$B$1:$E$2,2,FALSE)</f>
        <v>1.4999999999999999E-2</v>
      </c>
      <c r="N196" t="str">
        <f>IF(AND(K196&lt;&gt;"East",GETPIVOTDATA("amount_inr",'Daily Totals'!$A$4,"merchant_name",J196,"Days (transaction_time)",TEXT(D196,"dd-mmm"))&gt;5000),"High-Value Merchant Day", "Normal")</f>
        <v>Normal</v>
      </c>
    </row>
    <row r="197" spans="1:14" x14ac:dyDescent="0.3">
      <c r="A197" t="s">
        <v>210</v>
      </c>
      <c r="B197">
        <v>174</v>
      </c>
      <c r="C197">
        <v>30</v>
      </c>
      <c r="D197" s="1">
        <v>46037.30972222222</v>
      </c>
      <c r="E197" s="8">
        <f t="shared" si="3"/>
        <v>46037</v>
      </c>
      <c r="F197">
        <v>49</v>
      </c>
      <c r="G197" t="s">
        <v>12</v>
      </c>
      <c r="H197" t="s">
        <v>10</v>
      </c>
      <c r="I197">
        <v>51</v>
      </c>
      <c r="J197" t="str">
        <f>_xlfn.IFNA(VLOOKUP(C197,merchants!$A$2:$D$41,2,FALSE),"Merchant not found")</f>
        <v>Merchant_030</v>
      </c>
      <c r="K197" t="str">
        <f>_xlfn.IFNA(VLOOKUP(C197,merchants!$A$2:$D$41,3,FALSE),"Merchant not found")</f>
        <v>travel</v>
      </c>
      <c r="L197" t="str">
        <f>_xlfn.IFNA(VLOOKUP(C197,merchants!$A$2:$D$41,4,FALSE),"Merchant not found")</f>
        <v>West</v>
      </c>
      <c r="M197" s="2">
        <f>HLOOKUP(G197,Fees!$B$1:$E$2,2,FALSE)</f>
        <v>0</v>
      </c>
      <c r="N197" t="str">
        <f>IF(AND(K197&lt;&gt;"East",GETPIVOTDATA("amount_inr",'Daily Totals'!$A$4,"merchant_name",J197,"Days (transaction_time)",TEXT(D197,"dd-mmm"))&gt;5000),"High-Value Merchant Day", "Normal")</f>
        <v>Normal</v>
      </c>
    </row>
    <row r="198" spans="1:14" x14ac:dyDescent="0.3">
      <c r="A198" t="s">
        <v>211</v>
      </c>
      <c r="B198">
        <v>161</v>
      </c>
      <c r="C198">
        <v>28</v>
      </c>
      <c r="D198" s="1">
        <v>46036.962500000001</v>
      </c>
      <c r="E198" s="8">
        <f t="shared" si="3"/>
        <v>46036</v>
      </c>
      <c r="F198">
        <v>49</v>
      </c>
      <c r="G198" t="s">
        <v>12</v>
      </c>
      <c r="H198" t="s">
        <v>10</v>
      </c>
      <c r="I198">
        <v>40</v>
      </c>
      <c r="J198" t="str">
        <f>_xlfn.IFNA(VLOOKUP(C198,merchants!$A$2:$D$41,2,FALSE),"Merchant not found")</f>
        <v>Merchant_028</v>
      </c>
      <c r="K198" t="str">
        <f>_xlfn.IFNA(VLOOKUP(C198,merchants!$A$2:$D$41,3,FALSE),"Merchant not found")</f>
        <v>ecommerce</v>
      </c>
      <c r="L198" t="str">
        <f>_xlfn.IFNA(VLOOKUP(C198,merchants!$A$2:$D$41,4,FALSE),"Merchant not found")</f>
        <v>South</v>
      </c>
      <c r="M198" s="2">
        <f>HLOOKUP(G198,Fees!$B$1:$E$2,2,FALSE)</f>
        <v>0</v>
      </c>
      <c r="N198" t="str">
        <f>IF(AND(K198&lt;&gt;"East",GETPIVOTDATA("amount_inr",'Daily Totals'!$A$4,"merchant_name",J198,"Days (transaction_time)",TEXT(D198,"dd-mmm"))&gt;5000),"High-Value Merchant Day", "Normal")</f>
        <v>Normal</v>
      </c>
    </row>
    <row r="199" spans="1:14" x14ac:dyDescent="0.3">
      <c r="A199" t="s">
        <v>212</v>
      </c>
      <c r="B199">
        <v>79</v>
      </c>
      <c r="C199">
        <v>31</v>
      </c>
      <c r="D199" s="1">
        <v>46044.349305555559</v>
      </c>
      <c r="E199" s="8">
        <f t="shared" si="3"/>
        <v>46044</v>
      </c>
      <c r="F199">
        <v>99</v>
      </c>
      <c r="G199" t="s">
        <v>12</v>
      </c>
      <c r="H199" t="s">
        <v>10</v>
      </c>
      <c r="I199">
        <v>8</v>
      </c>
      <c r="J199" t="str">
        <f>_xlfn.IFNA(VLOOKUP(C199,merchants!$A$2:$D$41,2,FALSE),"Merchant not found")</f>
        <v>Merchant_031</v>
      </c>
      <c r="K199" t="str">
        <f>_xlfn.IFNA(VLOOKUP(C199,merchants!$A$2:$D$41,3,FALSE),"Merchant not found")</f>
        <v>bill_payment</v>
      </c>
      <c r="L199" t="str">
        <f>_xlfn.IFNA(VLOOKUP(C199,merchants!$A$2:$D$41,4,FALSE),"Merchant not found")</f>
        <v>East</v>
      </c>
      <c r="M199" s="2">
        <f>HLOOKUP(G199,Fees!$B$1:$E$2,2,FALSE)</f>
        <v>0</v>
      </c>
      <c r="N199" t="str">
        <f>IF(AND(K199&lt;&gt;"East",GETPIVOTDATA("amount_inr",'Daily Totals'!$A$4,"merchant_name",J199,"Days (transaction_time)",TEXT(D199,"dd-mmm"))&gt;5000),"High-Value Merchant Day", "Normal")</f>
        <v>Normal</v>
      </c>
    </row>
    <row r="200" spans="1:14" x14ac:dyDescent="0.3">
      <c r="A200" t="s">
        <v>213</v>
      </c>
      <c r="B200">
        <v>222</v>
      </c>
      <c r="C200">
        <v>7</v>
      </c>
      <c r="D200" s="1">
        <v>46025.086805555555</v>
      </c>
      <c r="E200" s="8">
        <f t="shared" si="3"/>
        <v>46025</v>
      </c>
      <c r="F200">
        <v>149</v>
      </c>
      <c r="G200" t="s">
        <v>9</v>
      </c>
      <c r="H200" t="s">
        <v>10</v>
      </c>
      <c r="I200">
        <v>95</v>
      </c>
      <c r="J200" t="str">
        <f>_xlfn.IFNA(VLOOKUP(C200,merchants!$A$2:$D$41,2,FALSE),"Merchant not found")</f>
        <v>Merchant_007</v>
      </c>
      <c r="K200" t="str">
        <f>_xlfn.IFNA(VLOOKUP(C200,merchants!$A$2:$D$41,3,FALSE),"Merchant not found")</f>
        <v>food_delivery</v>
      </c>
      <c r="L200" t="str">
        <f>_xlfn.IFNA(VLOOKUP(C200,merchants!$A$2:$D$41,4,FALSE),"Merchant not found")</f>
        <v>East</v>
      </c>
      <c r="M200" s="2">
        <f>HLOOKUP(G200,Fees!$B$1:$E$2,2,FALSE)</f>
        <v>1.4999999999999999E-2</v>
      </c>
      <c r="N200" t="str">
        <f>IF(AND(K200&lt;&gt;"East",GETPIVOTDATA("amount_inr",'Daily Totals'!$A$4,"merchant_name",J200,"Days (transaction_time)",TEXT(D200,"dd-mmm"))&gt;5000),"High-Value Merchant Day", "Normal")</f>
        <v>Normal</v>
      </c>
    </row>
    <row r="201" spans="1:14" x14ac:dyDescent="0.3">
      <c r="A201" t="s">
        <v>214</v>
      </c>
      <c r="B201">
        <v>67</v>
      </c>
      <c r="C201">
        <v>36</v>
      </c>
      <c r="D201" s="1">
        <v>46046.493750000001</v>
      </c>
      <c r="E201" s="8">
        <f t="shared" si="3"/>
        <v>46046</v>
      </c>
      <c r="F201">
        <v>99</v>
      </c>
      <c r="G201" t="s">
        <v>12</v>
      </c>
      <c r="H201" t="s">
        <v>10</v>
      </c>
      <c r="I201">
        <v>7</v>
      </c>
      <c r="J201" t="str">
        <f>_xlfn.IFNA(VLOOKUP(C201,merchants!$A$2:$D$41,2,FALSE),"Merchant not found")</f>
        <v>Merchant_036</v>
      </c>
      <c r="K201" t="str">
        <f>_xlfn.IFNA(VLOOKUP(C201,merchants!$A$2:$D$41,3,FALSE),"Merchant not found")</f>
        <v>entertainment</v>
      </c>
      <c r="L201" t="str">
        <f>_xlfn.IFNA(VLOOKUP(C201,merchants!$A$2:$D$41,4,FALSE),"Merchant not found")</f>
        <v>East</v>
      </c>
      <c r="M201" s="2">
        <f>HLOOKUP(G201,Fees!$B$1:$E$2,2,FALSE)</f>
        <v>0</v>
      </c>
      <c r="N201" t="str">
        <f>IF(AND(K201&lt;&gt;"East",GETPIVOTDATA("amount_inr",'Daily Totals'!$A$4,"merchant_name",J201,"Days (transaction_time)",TEXT(D201,"dd-mmm"))&gt;5000),"High-Value Merchant Day", "Normal")</f>
        <v>Normal</v>
      </c>
    </row>
    <row r="202" spans="1:14" x14ac:dyDescent="0.3">
      <c r="A202" t="s">
        <v>215</v>
      </c>
      <c r="B202">
        <v>169</v>
      </c>
      <c r="C202">
        <v>8</v>
      </c>
      <c r="D202" s="1">
        <v>46041.732638888891</v>
      </c>
      <c r="E202" s="8">
        <f t="shared" si="3"/>
        <v>46041</v>
      </c>
      <c r="F202">
        <v>99</v>
      </c>
      <c r="G202" t="s">
        <v>12</v>
      </c>
      <c r="H202" t="s">
        <v>10</v>
      </c>
      <c r="I202">
        <v>52</v>
      </c>
      <c r="J202" t="str">
        <f>_xlfn.IFNA(VLOOKUP(C202,merchants!$A$2:$D$41,2,FALSE),"Merchant not found")</f>
        <v>Merchant_008</v>
      </c>
      <c r="K202" t="str">
        <f>_xlfn.IFNA(VLOOKUP(C202,merchants!$A$2:$D$41,3,FALSE),"Merchant not found")</f>
        <v>food_delivery</v>
      </c>
      <c r="L202" t="str">
        <f>_xlfn.IFNA(VLOOKUP(C202,merchants!$A$2:$D$41,4,FALSE),"Merchant not found")</f>
        <v>North</v>
      </c>
      <c r="M202" s="2">
        <f>HLOOKUP(G202,Fees!$B$1:$E$2,2,FALSE)</f>
        <v>0</v>
      </c>
      <c r="N202" t="str">
        <f>IF(AND(K202&lt;&gt;"East",GETPIVOTDATA("amount_inr",'Daily Totals'!$A$4,"merchant_name",J202,"Days (transaction_time)",TEXT(D202,"dd-mmm"))&gt;5000),"High-Value Merchant Day", "Normal")</f>
        <v>Normal</v>
      </c>
    </row>
    <row r="203" spans="1:14" x14ac:dyDescent="0.3">
      <c r="A203" t="s">
        <v>216</v>
      </c>
      <c r="B203">
        <v>217</v>
      </c>
      <c r="C203">
        <v>4</v>
      </c>
      <c r="D203" s="1">
        <v>46034.908333333333</v>
      </c>
      <c r="E203" s="8">
        <f t="shared" si="3"/>
        <v>46034</v>
      </c>
      <c r="F203">
        <v>49</v>
      </c>
      <c r="G203" t="s">
        <v>12</v>
      </c>
      <c r="H203" t="s">
        <v>10</v>
      </c>
      <c r="I203">
        <v>36</v>
      </c>
      <c r="J203" t="str">
        <f>_xlfn.IFNA(VLOOKUP(C203,merchants!$A$2:$D$41,2,FALSE),"Merchant not found")</f>
        <v>Merchant_004</v>
      </c>
      <c r="K203" t="str">
        <f>_xlfn.IFNA(VLOOKUP(C203,merchants!$A$2:$D$41,3,FALSE),"Merchant not found")</f>
        <v>ecommerce</v>
      </c>
      <c r="L203" t="str">
        <f>_xlfn.IFNA(VLOOKUP(C203,merchants!$A$2:$D$41,4,FALSE),"Merchant not found")</f>
        <v>East</v>
      </c>
      <c r="M203" s="2">
        <f>HLOOKUP(G203,Fees!$B$1:$E$2,2,FALSE)</f>
        <v>0</v>
      </c>
      <c r="N203" t="str">
        <f>IF(AND(K203&lt;&gt;"East",GETPIVOTDATA("amount_inr",'Daily Totals'!$A$4,"merchant_name",J203,"Days (transaction_time)",TEXT(D203,"dd-mmm"))&gt;5000),"High-Value Merchant Day", "Normal")</f>
        <v>Normal</v>
      </c>
    </row>
    <row r="204" spans="1:14" x14ac:dyDescent="0.3">
      <c r="A204" t="s">
        <v>217</v>
      </c>
      <c r="B204">
        <v>54</v>
      </c>
      <c r="C204">
        <v>37</v>
      </c>
      <c r="D204" s="1">
        <v>46042.390277777777</v>
      </c>
      <c r="E204" s="8">
        <f t="shared" si="3"/>
        <v>46042</v>
      </c>
      <c r="F204">
        <v>149</v>
      </c>
      <c r="G204" t="s">
        <v>12</v>
      </c>
      <c r="H204" t="s">
        <v>10</v>
      </c>
      <c r="I204">
        <v>64</v>
      </c>
      <c r="J204" t="str">
        <f>_xlfn.IFNA(VLOOKUP(C204,merchants!$A$2:$D$41,2,FALSE),"Merchant not found")</f>
        <v>Merchant_037</v>
      </c>
      <c r="K204" t="str">
        <f>_xlfn.IFNA(VLOOKUP(C204,merchants!$A$2:$D$41,3,FALSE),"Merchant not found")</f>
        <v>entertainment</v>
      </c>
      <c r="L204" t="str">
        <f>_xlfn.IFNA(VLOOKUP(C204,merchants!$A$2:$D$41,4,FALSE),"Merchant not found")</f>
        <v>South</v>
      </c>
      <c r="M204" s="2">
        <f>HLOOKUP(G204,Fees!$B$1:$E$2,2,FALSE)</f>
        <v>0</v>
      </c>
      <c r="N204" t="str">
        <f>IF(AND(K204&lt;&gt;"East",GETPIVOTDATA("amount_inr",'Daily Totals'!$A$4,"merchant_name",J204,"Days (transaction_time)",TEXT(D204,"dd-mmm"))&gt;5000),"High-Value Merchant Day", "Normal")</f>
        <v>Normal</v>
      </c>
    </row>
    <row r="205" spans="1:14" x14ac:dyDescent="0.3">
      <c r="A205" t="s">
        <v>218</v>
      </c>
      <c r="B205">
        <v>247</v>
      </c>
      <c r="C205">
        <v>15</v>
      </c>
      <c r="D205" s="1">
        <v>46029.195833333331</v>
      </c>
      <c r="E205" s="8">
        <f t="shared" si="3"/>
        <v>46029</v>
      </c>
      <c r="F205">
        <v>49</v>
      </c>
      <c r="G205" t="s">
        <v>24</v>
      </c>
      <c r="H205" t="s">
        <v>10</v>
      </c>
      <c r="I205">
        <v>13</v>
      </c>
      <c r="J205" t="str">
        <f>_xlfn.IFNA(VLOOKUP(C205,merchants!$A$2:$D$41,2,FALSE),"Merchant not found")</f>
        <v>Merchant_015</v>
      </c>
      <c r="K205" t="str">
        <f>_xlfn.IFNA(VLOOKUP(C205,merchants!$A$2:$D$41,3,FALSE),"Merchant not found")</f>
        <v>travel</v>
      </c>
      <c r="L205" t="str">
        <f>_xlfn.IFNA(VLOOKUP(C205,merchants!$A$2:$D$41,4,FALSE),"Merchant not found")</f>
        <v>North</v>
      </c>
      <c r="M205" s="2">
        <f>HLOOKUP(G205,Fees!$B$1:$E$2,2,FALSE)</f>
        <v>0.02</v>
      </c>
      <c r="N205" t="str">
        <f>IF(AND(K205&lt;&gt;"East",GETPIVOTDATA("amount_inr",'Daily Totals'!$A$4,"merchant_name",J205,"Days (transaction_time)",TEXT(D205,"dd-mmm"))&gt;5000),"High-Value Merchant Day", "Normal")</f>
        <v>Normal</v>
      </c>
    </row>
    <row r="206" spans="1:14" x14ac:dyDescent="0.3">
      <c r="A206" t="s">
        <v>219</v>
      </c>
      <c r="B206">
        <v>59</v>
      </c>
      <c r="C206">
        <v>18</v>
      </c>
      <c r="D206" s="1">
        <v>46034.724305555559</v>
      </c>
      <c r="E206" s="8">
        <f t="shared" si="3"/>
        <v>46034</v>
      </c>
      <c r="F206">
        <v>49</v>
      </c>
      <c r="G206" t="s">
        <v>24</v>
      </c>
      <c r="H206" t="s">
        <v>10</v>
      </c>
      <c r="I206">
        <v>73</v>
      </c>
      <c r="J206" t="str">
        <f>_xlfn.IFNA(VLOOKUP(C206,merchants!$A$2:$D$41,2,FALSE),"Merchant not found")</f>
        <v>Merchant_018</v>
      </c>
      <c r="K206" t="str">
        <f>_xlfn.IFNA(VLOOKUP(C206,merchants!$A$2:$D$41,3,FALSE),"Merchant not found")</f>
        <v>grocery</v>
      </c>
      <c r="L206" t="str">
        <f>_xlfn.IFNA(VLOOKUP(C206,merchants!$A$2:$D$41,4,FALSE),"Merchant not found")</f>
        <v>West</v>
      </c>
      <c r="M206" s="2">
        <f>HLOOKUP(G206,Fees!$B$1:$E$2,2,FALSE)</f>
        <v>0.02</v>
      </c>
      <c r="N206" t="str">
        <f>IF(AND(K206&lt;&gt;"East",GETPIVOTDATA("amount_inr",'Daily Totals'!$A$4,"merchant_name",J206,"Days (transaction_time)",TEXT(D206,"dd-mmm"))&gt;5000),"High-Value Merchant Day", "Normal")</f>
        <v>Normal</v>
      </c>
    </row>
    <row r="207" spans="1:14" x14ac:dyDescent="0.3">
      <c r="A207" t="s">
        <v>220</v>
      </c>
      <c r="B207">
        <v>288</v>
      </c>
      <c r="C207">
        <v>40</v>
      </c>
      <c r="D207" s="1">
        <v>46030.57916666667</v>
      </c>
      <c r="E207" s="8">
        <f t="shared" si="3"/>
        <v>46030</v>
      </c>
      <c r="F207">
        <v>49</v>
      </c>
      <c r="G207" t="s">
        <v>12</v>
      </c>
      <c r="H207" t="s">
        <v>25</v>
      </c>
      <c r="I207">
        <v>78</v>
      </c>
      <c r="J207" t="str">
        <f>_xlfn.IFNA(VLOOKUP(C207,merchants!$A$2:$D$41,2,FALSE),"Merchant not found")</f>
        <v>Merchant_040</v>
      </c>
      <c r="K207" t="str">
        <f>_xlfn.IFNA(VLOOKUP(C207,merchants!$A$2:$D$41,3,FALSE),"Merchant not found")</f>
        <v>entertainment</v>
      </c>
      <c r="L207" t="str">
        <f>_xlfn.IFNA(VLOOKUP(C207,merchants!$A$2:$D$41,4,FALSE),"Merchant not found")</f>
        <v>South</v>
      </c>
      <c r="M207" s="2">
        <f>HLOOKUP(G207,Fees!$B$1:$E$2,2,FALSE)</f>
        <v>0</v>
      </c>
      <c r="N207" t="str">
        <f>IF(AND(K207&lt;&gt;"East",GETPIVOTDATA("amount_inr",'Daily Totals'!$A$4,"merchant_name",J207,"Days (transaction_time)",TEXT(D207,"dd-mmm"))&gt;5000),"High-Value Merchant Day", "Normal")</f>
        <v>Normal</v>
      </c>
    </row>
    <row r="208" spans="1:14" x14ac:dyDescent="0.3">
      <c r="A208" t="s">
        <v>221</v>
      </c>
      <c r="B208">
        <v>14</v>
      </c>
      <c r="C208">
        <v>39</v>
      </c>
      <c r="D208" s="1">
        <v>46044.857638888891</v>
      </c>
      <c r="E208" s="8">
        <f t="shared" si="3"/>
        <v>46044</v>
      </c>
      <c r="F208">
        <v>799</v>
      </c>
      <c r="G208" t="s">
        <v>12</v>
      </c>
      <c r="H208" t="s">
        <v>10</v>
      </c>
      <c r="I208">
        <v>84</v>
      </c>
      <c r="J208" t="str">
        <f>_xlfn.IFNA(VLOOKUP(C208,merchants!$A$2:$D$41,2,FALSE),"Merchant not found")</f>
        <v>Merchant_039</v>
      </c>
      <c r="K208" t="str">
        <f>_xlfn.IFNA(VLOOKUP(C208,merchants!$A$2:$D$41,3,FALSE),"Merchant not found")</f>
        <v>entertainment</v>
      </c>
      <c r="L208" t="str">
        <f>_xlfn.IFNA(VLOOKUP(C208,merchants!$A$2:$D$41,4,FALSE),"Merchant not found")</f>
        <v>North</v>
      </c>
      <c r="M208" s="2">
        <f>HLOOKUP(G208,Fees!$B$1:$E$2,2,FALSE)</f>
        <v>0</v>
      </c>
      <c r="N208" t="str">
        <f>IF(AND(K208&lt;&gt;"East",GETPIVOTDATA("amount_inr",'Daily Totals'!$A$4,"merchant_name",J208,"Days (transaction_time)",TEXT(D208,"dd-mmm"))&gt;5000),"High-Value Merchant Day", "Normal")</f>
        <v>High-Value Merchant Day</v>
      </c>
    </row>
    <row r="209" spans="1:14" x14ac:dyDescent="0.3">
      <c r="A209" t="s">
        <v>222</v>
      </c>
      <c r="B209">
        <v>15</v>
      </c>
      <c r="C209">
        <v>12</v>
      </c>
      <c r="D209" s="1">
        <v>46049.928472222222</v>
      </c>
      <c r="E209" s="8">
        <f t="shared" si="3"/>
        <v>46049</v>
      </c>
      <c r="F209">
        <v>149</v>
      </c>
      <c r="G209" t="s">
        <v>12</v>
      </c>
      <c r="H209" t="s">
        <v>10</v>
      </c>
      <c r="I209">
        <v>34</v>
      </c>
      <c r="J209" t="str">
        <f>_xlfn.IFNA(VLOOKUP(C209,merchants!$A$2:$D$41,2,FALSE),"Merchant not found")</f>
        <v>Merchant_012</v>
      </c>
      <c r="K209" t="str">
        <f>_xlfn.IFNA(VLOOKUP(C209,merchants!$A$2:$D$41,3,FALSE),"Merchant not found")</f>
        <v>ecommerce</v>
      </c>
      <c r="L209" t="str">
        <f>_xlfn.IFNA(VLOOKUP(C209,merchants!$A$2:$D$41,4,FALSE),"Merchant not found")</f>
        <v>East</v>
      </c>
      <c r="M209" s="2">
        <f>HLOOKUP(G209,Fees!$B$1:$E$2,2,FALSE)</f>
        <v>0</v>
      </c>
      <c r="N209" t="str">
        <f>IF(AND(K209&lt;&gt;"East",GETPIVOTDATA("amount_inr",'Daily Totals'!$A$4,"merchant_name",J209,"Days (transaction_time)",TEXT(D209,"dd-mmm"))&gt;5000),"High-Value Merchant Day", "Normal")</f>
        <v>Normal</v>
      </c>
    </row>
    <row r="210" spans="1:14" x14ac:dyDescent="0.3">
      <c r="A210" t="s">
        <v>223</v>
      </c>
      <c r="B210">
        <v>174</v>
      </c>
      <c r="C210">
        <v>23</v>
      </c>
      <c r="D210" s="1">
        <v>46045.415277777778</v>
      </c>
      <c r="E210" s="8">
        <f t="shared" si="3"/>
        <v>46045</v>
      </c>
      <c r="F210">
        <v>149</v>
      </c>
      <c r="G210" t="s">
        <v>12</v>
      </c>
      <c r="H210" t="s">
        <v>10</v>
      </c>
      <c r="I210">
        <v>0</v>
      </c>
      <c r="J210" t="str">
        <f>_xlfn.IFNA(VLOOKUP(C210,merchants!$A$2:$D$41,2,FALSE),"Merchant not found")</f>
        <v>Merchant_023</v>
      </c>
      <c r="K210" t="str">
        <f>_xlfn.IFNA(VLOOKUP(C210,merchants!$A$2:$D$41,3,FALSE),"Merchant not found")</f>
        <v>travel</v>
      </c>
      <c r="L210" t="str">
        <f>_xlfn.IFNA(VLOOKUP(C210,merchants!$A$2:$D$41,4,FALSE),"Merchant not found")</f>
        <v>North</v>
      </c>
      <c r="M210" s="2">
        <f>HLOOKUP(G210,Fees!$B$1:$E$2,2,FALSE)</f>
        <v>0</v>
      </c>
      <c r="N210" t="str">
        <f>IF(AND(K210&lt;&gt;"East",GETPIVOTDATA("amount_inr",'Daily Totals'!$A$4,"merchant_name",J210,"Days (transaction_time)",TEXT(D210,"dd-mmm"))&gt;5000),"High-Value Merchant Day", "Normal")</f>
        <v>Normal</v>
      </c>
    </row>
    <row r="211" spans="1:14" x14ac:dyDescent="0.3">
      <c r="A211" t="s">
        <v>224</v>
      </c>
      <c r="B211">
        <v>337</v>
      </c>
      <c r="C211">
        <v>26</v>
      </c>
      <c r="D211" s="1">
        <v>46028.191666666666</v>
      </c>
      <c r="E211" s="8">
        <f t="shared" si="3"/>
        <v>46028</v>
      </c>
      <c r="F211">
        <v>49</v>
      </c>
      <c r="G211" t="s">
        <v>12</v>
      </c>
      <c r="H211" t="s">
        <v>10</v>
      </c>
      <c r="I211">
        <v>8</v>
      </c>
      <c r="J211" t="str">
        <f>_xlfn.IFNA(VLOOKUP(C211,merchants!$A$2:$D$41,2,FALSE),"Merchant not found")</f>
        <v>Merchant_026</v>
      </c>
      <c r="K211" t="str">
        <f>_xlfn.IFNA(VLOOKUP(C211,merchants!$A$2:$D$41,3,FALSE),"Merchant not found")</f>
        <v>food_delivery</v>
      </c>
      <c r="L211" t="str">
        <f>_xlfn.IFNA(VLOOKUP(C211,merchants!$A$2:$D$41,4,FALSE),"Merchant not found")</f>
        <v>East</v>
      </c>
      <c r="M211" s="2">
        <f>HLOOKUP(G211,Fees!$B$1:$E$2,2,FALSE)</f>
        <v>0</v>
      </c>
      <c r="N211" t="str">
        <f>IF(AND(K211&lt;&gt;"East",GETPIVOTDATA("amount_inr",'Daily Totals'!$A$4,"merchant_name",J211,"Days (transaction_time)",TEXT(D211,"dd-mmm"))&gt;5000),"High-Value Merchant Day", "Normal")</f>
        <v>Normal</v>
      </c>
    </row>
    <row r="212" spans="1:14" x14ac:dyDescent="0.3">
      <c r="A212" t="s">
        <v>225</v>
      </c>
      <c r="B212">
        <v>16</v>
      </c>
      <c r="C212">
        <v>6</v>
      </c>
      <c r="D212" s="1">
        <v>46027.986111111109</v>
      </c>
      <c r="E212" s="8">
        <f t="shared" si="3"/>
        <v>46027</v>
      </c>
      <c r="F212">
        <v>1499</v>
      </c>
      <c r="G212" t="s">
        <v>12</v>
      </c>
      <c r="H212" t="s">
        <v>10</v>
      </c>
      <c r="I212">
        <v>95</v>
      </c>
      <c r="J212" t="str">
        <f>_xlfn.IFNA(VLOOKUP(C212,merchants!$A$2:$D$41,2,FALSE),"Merchant not found")</f>
        <v>Merchant_006</v>
      </c>
      <c r="K212" t="str">
        <f>_xlfn.IFNA(VLOOKUP(C212,merchants!$A$2:$D$41,3,FALSE),"Merchant not found")</f>
        <v>food_delivery</v>
      </c>
      <c r="L212" t="str">
        <f>_xlfn.IFNA(VLOOKUP(C212,merchants!$A$2:$D$41,4,FALSE),"Merchant not found")</f>
        <v>South</v>
      </c>
      <c r="M212" s="2">
        <f>HLOOKUP(G212,Fees!$B$1:$E$2,2,FALSE)</f>
        <v>0</v>
      </c>
      <c r="N212" t="str">
        <f>IF(AND(K212&lt;&gt;"East",GETPIVOTDATA("amount_inr",'Daily Totals'!$A$4,"merchant_name",J212,"Days (transaction_time)",TEXT(D212,"dd-mmm"))&gt;5000),"High-Value Merchant Day", "Normal")</f>
        <v>Normal</v>
      </c>
    </row>
    <row r="213" spans="1:14" x14ac:dyDescent="0.3">
      <c r="A213" t="s">
        <v>226</v>
      </c>
      <c r="B213">
        <v>215</v>
      </c>
      <c r="C213">
        <v>30</v>
      </c>
      <c r="D213" s="1">
        <v>46039.26666666667</v>
      </c>
      <c r="E213" s="8">
        <f t="shared" si="3"/>
        <v>46039</v>
      </c>
      <c r="F213">
        <v>49</v>
      </c>
      <c r="G213" t="s">
        <v>12</v>
      </c>
      <c r="H213" t="s">
        <v>10</v>
      </c>
      <c r="I213">
        <v>43</v>
      </c>
      <c r="J213" t="str">
        <f>_xlfn.IFNA(VLOOKUP(C213,merchants!$A$2:$D$41,2,FALSE),"Merchant not found")</f>
        <v>Merchant_030</v>
      </c>
      <c r="K213" t="str">
        <f>_xlfn.IFNA(VLOOKUP(C213,merchants!$A$2:$D$41,3,FALSE),"Merchant not found")</f>
        <v>travel</v>
      </c>
      <c r="L213" t="str">
        <f>_xlfn.IFNA(VLOOKUP(C213,merchants!$A$2:$D$41,4,FALSE),"Merchant not found")</f>
        <v>West</v>
      </c>
      <c r="M213" s="2">
        <f>HLOOKUP(G213,Fees!$B$1:$E$2,2,FALSE)</f>
        <v>0</v>
      </c>
      <c r="N213" t="str">
        <f>IF(AND(K213&lt;&gt;"East",GETPIVOTDATA("amount_inr",'Daily Totals'!$A$4,"merchant_name",J213,"Days (transaction_time)",TEXT(D213,"dd-mmm"))&gt;5000),"High-Value Merchant Day", "Normal")</f>
        <v>Normal</v>
      </c>
    </row>
    <row r="214" spans="1:14" x14ac:dyDescent="0.3">
      <c r="A214" t="s">
        <v>227</v>
      </c>
      <c r="B214">
        <v>167</v>
      </c>
      <c r="C214">
        <v>37</v>
      </c>
      <c r="D214" s="1">
        <v>46028.47152777778</v>
      </c>
      <c r="E214" s="8">
        <f t="shared" si="3"/>
        <v>46028</v>
      </c>
      <c r="F214">
        <v>99</v>
      </c>
      <c r="G214" t="s">
        <v>12</v>
      </c>
      <c r="H214" t="s">
        <v>10</v>
      </c>
      <c r="I214">
        <v>76</v>
      </c>
      <c r="J214" t="str">
        <f>_xlfn.IFNA(VLOOKUP(C214,merchants!$A$2:$D$41,2,FALSE),"Merchant not found")</f>
        <v>Merchant_037</v>
      </c>
      <c r="K214" t="str">
        <f>_xlfn.IFNA(VLOOKUP(C214,merchants!$A$2:$D$41,3,FALSE),"Merchant not found")</f>
        <v>entertainment</v>
      </c>
      <c r="L214" t="str">
        <f>_xlfn.IFNA(VLOOKUP(C214,merchants!$A$2:$D$41,4,FALSE),"Merchant not found")</f>
        <v>South</v>
      </c>
      <c r="M214" s="2">
        <f>HLOOKUP(G214,Fees!$B$1:$E$2,2,FALSE)</f>
        <v>0</v>
      </c>
      <c r="N214" t="str">
        <f>IF(AND(K214&lt;&gt;"East",GETPIVOTDATA("amount_inr",'Daily Totals'!$A$4,"merchant_name",J214,"Days (transaction_time)",TEXT(D214,"dd-mmm"))&gt;5000),"High-Value Merchant Day", "Normal")</f>
        <v>Normal</v>
      </c>
    </row>
    <row r="215" spans="1:14" x14ac:dyDescent="0.3">
      <c r="A215" t="s">
        <v>228</v>
      </c>
      <c r="B215">
        <v>81</v>
      </c>
      <c r="C215">
        <v>40</v>
      </c>
      <c r="D215" s="1">
        <v>46025.04791666667</v>
      </c>
      <c r="E215" s="8">
        <f t="shared" si="3"/>
        <v>46025</v>
      </c>
      <c r="F215">
        <v>49</v>
      </c>
      <c r="G215" t="s">
        <v>12</v>
      </c>
      <c r="H215" t="s">
        <v>10</v>
      </c>
      <c r="I215">
        <v>6</v>
      </c>
      <c r="J215" t="str">
        <f>_xlfn.IFNA(VLOOKUP(C215,merchants!$A$2:$D$41,2,FALSE),"Merchant not found")</f>
        <v>Merchant_040</v>
      </c>
      <c r="K215" t="str">
        <f>_xlfn.IFNA(VLOOKUP(C215,merchants!$A$2:$D$41,3,FALSE),"Merchant not found")</f>
        <v>entertainment</v>
      </c>
      <c r="L215" t="str">
        <f>_xlfn.IFNA(VLOOKUP(C215,merchants!$A$2:$D$41,4,FALSE),"Merchant not found")</f>
        <v>South</v>
      </c>
      <c r="M215" s="2">
        <f>HLOOKUP(G215,Fees!$B$1:$E$2,2,FALSE)</f>
        <v>0</v>
      </c>
      <c r="N215" t="str">
        <f>IF(AND(K215&lt;&gt;"East",GETPIVOTDATA("amount_inr",'Daily Totals'!$A$4,"merchant_name",J215,"Days (transaction_time)",TEXT(D215,"dd-mmm"))&gt;5000),"High-Value Merchant Day", "Normal")</f>
        <v>Normal</v>
      </c>
    </row>
    <row r="216" spans="1:14" x14ac:dyDescent="0.3">
      <c r="A216" t="s">
        <v>229</v>
      </c>
      <c r="B216">
        <v>227</v>
      </c>
      <c r="C216">
        <v>28</v>
      </c>
      <c r="D216" s="1">
        <v>46044.095138888886</v>
      </c>
      <c r="E216" s="8">
        <f t="shared" si="3"/>
        <v>46044</v>
      </c>
      <c r="F216">
        <v>99</v>
      </c>
      <c r="G216" t="s">
        <v>12</v>
      </c>
      <c r="H216" t="s">
        <v>10</v>
      </c>
      <c r="I216">
        <v>62</v>
      </c>
      <c r="J216" t="str">
        <f>_xlfn.IFNA(VLOOKUP(C216,merchants!$A$2:$D$41,2,FALSE),"Merchant not found")</f>
        <v>Merchant_028</v>
      </c>
      <c r="K216" t="str">
        <f>_xlfn.IFNA(VLOOKUP(C216,merchants!$A$2:$D$41,3,FALSE),"Merchant not found")</f>
        <v>ecommerce</v>
      </c>
      <c r="L216" t="str">
        <f>_xlfn.IFNA(VLOOKUP(C216,merchants!$A$2:$D$41,4,FALSE),"Merchant not found")</f>
        <v>South</v>
      </c>
      <c r="M216" s="2">
        <f>HLOOKUP(G216,Fees!$B$1:$E$2,2,FALSE)</f>
        <v>0</v>
      </c>
      <c r="N216" t="str">
        <f>IF(AND(K216&lt;&gt;"East",GETPIVOTDATA("amount_inr",'Daily Totals'!$A$4,"merchant_name",J216,"Days (transaction_time)",TEXT(D216,"dd-mmm"))&gt;5000),"High-Value Merchant Day", "Normal")</f>
        <v>Normal</v>
      </c>
    </row>
    <row r="217" spans="1:14" x14ac:dyDescent="0.3">
      <c r="A217" t="s">
        <v>230</v>
      </c>
      <c r="B217">
        <v>140</v>
      </c>
      <c r="C217">
        <v>14</v>
      </c>
      <c r="D217" s="1">
        <v>46042.601388888892</v>
      </c>
      <c r="E217" s="8">
        <f t="shared" si="3"/>
        <v>46042</v>
      </c>
      <c r="F217">
        <v>299</v>
      </c>
      <c r="G217" t="s">
        <v>9</v>
      </c>
      <c r="H217" t="s">
        <v>10</v>
      </c>
      <c r="I217">
        <v>96</v>
      </c>
      <c r="J217" t="str">
        <f>_xlfn.IFNA(VLOOKUP(C217,merchants!$A$2:$D$41,2,FALSE),"Merchant not found")</f>
        <v>Merchant_014</v>
      </c>
      <c r="K217" t="str">
        <f>_xlfn.IFNA(VLOOKUP(C217,merchants!$A$2:$D$41,3,FALSE),"Merchant not found")</f>
        <v>grocery</v>
      </c>
      <c r="L217" t="str">
        <f>_xlfn.IFNA(VLOOKUP(C217,merchants!$A$2:$D$41,4,FALSE),"Merchant not found")</f>
        <v>East</v>
      </c>
      <c r="M217" s="2">
        <f>HLOOKUP(G217,Fees!$B$1:$E$2,2,FALSE)</f>
        <v>1.4999999999999999E-2</v>
      </c>
      <c r="N217" t="str">
        <f>IF(AND(K217&lt;&gt;"East",GETPIVOTDATA("amount_inr",'Daily Totals'!$A$4,"merchant_name",J217,"Days (transaction_time)",TEXT(D217,"dd-mmm"))&gt;5000),"High-Value Merchant Day", "Normal")</f>
        <v>Normal</v>
      </c>
    </row>
    <row r="218" spans="1:14" x14ac:dyDescent="0.3">
      <c r="A218" t="s">
        <v>231</v>
      </c>
      <c r="B218">
        <v>221</v>
      </c>
      <c r="C218">
        <v>8</v>
      </c>
      <c r="D218" s="1">
        <v>46039.140277777777</v>
      </c>
      <c r="E218" s="8">
        <f t="shared" si="3"/>
        <v>46039</v>
      </c>
      <c r="F218">
        <v>299</v>
      </c>
      <c r="G218" t="s">
        <v>12</v>
      </c>
      <c r="H218" t="s">
        <v>10</v>
      </c>
      <c r="I218">
        <v>36</v>
      </c>
      <c r="J218" t="str">
        <f>_xlfn.IFNA(VLOOKUP(C218,merchants!$A$2:$D$41,2,FALSE),"Merchant not found")</f>
        <v>Merchant_008</v>
      </c>
      <c r="K218" t="str">
        <f>_xlfn.IFNA(VLOOKUP(C218,merchants!$A$2:$D$41,3,FALSE),"Merchant not found")</f>
        <v>food_delivery</v>
      </c>
      <c r="L218" t="str">
        <f>_xlfn.IFNA(VLOOKUP(C218,merchants!$A$2:$D$41,4,FALSE),"Merchant not found")</f>
        <v>North</v>
      </c>
      <c r="M218" s="2">
        <f>HLOOKUP(G218,Fees!$B$1:$E$2,2,FALSE)</f>
        <v>0</v>
      </c>
      <c r="N218" t="str">
        <f>IF(AND(K218&lt;&gt;"East",GETPIVOTDATA("amount_inr",'Daily Totals'!$A$4,"merchant_name",J218,"Days (transaction_time)",TEXT(D218,"dd-mmm"))&gt;5000),"High-Value Merchant Day", "Normal")</f>
        <v>Normal</v>
      </c>
    </row>
    <row r="219" spans="1:14" x14ac:dyDescent="0.3">
      <c r="A219" t="s">
        <v>232</v>
      </c>
      <c r="B219">
        <v>250</v>
      </c>
      <c r="C219">
        <v>34</v>
      </c>
      <c r="D219" s="1">
        <v>46044.900694444441</v>
      </c>
      <c r="E219" s="8">
        <f t="shared" si="3"/>
        <v>46044</v>
      </c>
      <c r="F219">
        <v>299</v>
      </c>
      <c r="G219" t="s">
        <v>9</v>
      </c>
      <c r="H219" t="s">
        <v>10</v>
      </c>
      <c r="I219">
        <v>85</v>
      </c>
      <c r="J219" t="str">
        <f>_xlfn.IFNA(VLOOKUP(C219,merchants!$A$2:$D$41,2,FALSE),"Merchant not found")</f>
        <v>Merchant_034</v>
      </c>
      <c r="K219" t="str">
        <f>_xlfn.IFNA(VLOOKUP(C219,merchants!$A$2:$D$41,3,FALSE),"Merchant not found")</f>
        <v>travel</v>
      </c>
      <c r="L219" t="str">
        <f>_xlfn.IFNA(VLOOKUP(C219,merchants!$A$2:$D$41,4,FALSE),"Merchant not found")</f>
        <v>South</v>
      </c>
      <c r="M219" s="2">
        <f>HLOOKUP(G219,Fees!$B$1:$E$2,2,FALSE)</f>
        <v>1.4999999999999999E-2</v>
      </c>
      <c r="N219" t="str">
        <f>IF(AND(K219&lt;&gt;"East",GETPIVOTDATA("amount_inr",'Daily Totals'!$A$4,"merchant_name",J219,"Days (transaction_time)",TEXT(D219,"dd-mmm"))&gt;5000),"High-Value Merchant Day", "Normal")</f>
        <v>Normal</v>
      </c>
    </row>
    <row r="220" spans="1:14" x14ac:dyDescent="0.3">
      <c r="A220" t="s">
        <v>233</v>
      </c>
      <c r="B220">
        <v>203</v>
      </c>
      <c r="C220">
        <v>39</v>
      </c>
      <c r="D220" s="1">
        <v>46032.051388888889</v>
      </c>
      <c r="E220" s="8">
        <f t="shared" si="3"/>
        <v>46032</v>
      </c>
      <c r="F220">
        <v>49</v>
      </c>
      <c r="G220" t="s">
        <v>12</v>
      </c>
      <c r="H220" t="s">
        <v>10</v>
      </c>
      <c r="I220">
        <v>7</v>
      </c>
      <c r="J220" t="str">
        <f>_xlfn.IFNA(VLOOKUP(C220,merchants!$A$2:$D$41,2,FALSE),"Merchant not found")</f>
        <v>Merchant_039</v>
      </c>
      <c r="K220" t="str">
        <f>_xlfn.IFNA(VLOOKUP(C220,merchants!$A$2:$D$41,3,FALSE),"Merchant not found")</f>
        <v>entertainment</v>
      </c>
      <c r="L220" t="str">
        <f>_xlfn.IFNA(VLOOKUP(C220,merchants!$A$2:$D$41,4,FALSE),"Merchant not found")</f>
        <v>North</v>
      </c>
      <c r="M220" s="2">
        <f>HLOOKUP(G220,Fees!$B$1:$E$2,2,FALSE)</f>
        <v>0</v>
      </c>
      <c r="N220" t="str">
        <f>IF(AND(K220&lt;&gt;"East",GETPIVOTDATA("amount_inr",'Daily Totals'!$A$4,"merchant_name",J220,"Days (transaction_time)",TEXT(D220,"dd-mmm"))&gt;5000),"High-Value Merchant Day", "Normal")</f>
        <v>Normal</v>
      </c>
    </row>
    <row r="221" spans="1:14" x14ac:dyDescent="0.3">
      <c r="A221" t="s">
        <v>234</v>
      </c>
      <c r="B221">
        <v>109</v>
      </c>
      <c r="C221">
        <v>9</v>
      </c>
      <c r="D221" s="1">
        <v>46023.263194444444</v>
      </c>
      <c r="E221" s="8">
        <f t="shared" si="3"/>
        <v>46023</v>
      </c>
      <c r="F221">
        <v>499</v>
      </c>
      <c r="G221" t="s">
        <v>9</v>
      </c>
      <c r="H221" t="s">
        <v>10</v>
      </c>
      <c r="I221">
        <v>97</v>
      </c>
      <c r="J221" t="str">
        <f>_xlfn.IFNA(VLOOKUP(C221,merchants!$A$2:$D$41,2,FALSE),"Merchant not found")</f>
        <v>Merchant_009</v>
      </c>
      <c r="K221" t="str">
        <f>_xlfn.IFNA(VLOOKUP(C221,merchants!$A$2:$D$41,3,FALSE),"Merchant not found")</f>
        <v>ecommerce</v>
      </c>
      <c r="L221" t="str">
        <f>_xlfn.IFNA(VLOOKUP(C221,merchants!$A$2:$D$41,4,FALSE),"Merchant not found")</f>
        <v>North</v>
      </c>
      <c r="M221" s="2">
        <f>HLOOKUP(G221,Fees!$B$1:$E$2,2,FALSE)</f>
        <v>1.4999999999999999E-2</v>
      </c>
      <c r="N221" t="str">
        <f>IF(AND(K221&lt;&gt;"East",GETPIVOTDATA("amount_inr",'Daily Totals'!$A$4,"merchant_name",J221,"Days (transaction_time)",TEXT(D221,"dd-mmm"))&gt;5000),"High-Value Merchant Day", "Normal")</f>
        <v>Normal</v>
      </c>
    </row>
    <row r="222" spans="1:14" x14ac:dyDescent="0.3">
      <c r="A222" t="s">
        <v>235</v>
      </c>
      <c r="B222">
        <v>62</v>
      </c>
      <c r="C222">
        <v>1</v>
      </c>
      <c r="D222" s="1">
        <v>46031.388888888891</v>
      </c>
      <c r="E222" s="8">
        <f t="shared" si="3"/>
        <v>46031</v>
      </c>
      <c r="F222">
        <v>4999</v>
      </c>
      <c r="G222" t="s">
        <v>9</v>
      </c>
      <c r="H222" t="s">
        <v>10</v>
      </c>
      <c r="I222">
        <v>63</v>
      </c>
      <c r="J222" t="str">
        <f>_xlfn.IFNA(VLOOKUP(C222,merchants!$A$2:$D$41,2,FALSE),"Merchant not found")</f>
        <v>Merchant_001</v>
      </c>
      <c r="K222" t="str">
        <f>_xlfn.IFNA(VLOOKUP(C222,merchants!$A$2:$D$41,3,FALSE),"Merchant not found")</f>
        <v>ecommerce</v>
      </c>
      <c r="L222" t="str">
        <f>_xlfn.IFNA(VLOOKUP(C222,merchants!$A$2:$D$41,4,FALSE),"Merchant not found")</f>
        <v>South</v>
      </c>
      <c r="M222" s="2">
        <f>HLOOKUP(G222,Fees!$B$1:$E$2,2,FALSE)</f>
        <v>1.4999999999999999E-2</v>
      </c>
      <c r="N222" t="str">
        <f>IF(AND(K222&lt;&gt;"East",GETPIVOTDATA("amount_inr",'Daily Totals'!$A$4,"merchant_name",J222,"Days (transaction_time)",TEXT(D222,"dd-mmm"))&gt;5000),"High-Value Merchant Day", "Normal")</f>
        <v>High-Value Merchant Day</v>
      </c>
    </row>
    <row r="223" spans="1:14" x14ac:dyDescent="0.3">
      <c r="A223" t="s">
        <v>236</v>
      </c>
      <c r="B223">
        <v>67</v>
      </c>
      <c r="C223">
        <v>25</v>
      </c>
      <c r="D223" s="1">
        <v>46046.549305555556</v>
      </c>
      <c r="E223" s="8">
        <f t="shared" si="3"/>
        <v>46046</v>
      </c>
      <c r="F223">
        <v>49</v>
      </c>
      <c r="G223" t="s">
        <v>12</v>
      </c>
      <c r="H223" t="s">
        <v>10</v>
      </c>
      <c r="I223">
        <v>68</v>
      </c>
      <c r="J223" t="str">
        <f>_xlfn.IFNA(VLOOKUP(C223,merchants!$A$2:$D$41,2,FALSE),"Merchant not found")</f>
        <v>Merchant_025</v>
      </c>
      <c r="K223" t="str">
        <f>_xlfn.IFNA(VLOOKUP(C223,merchants!$A$2:$D$41,3,FALSE),"Merchant not found")</f>
        <v>travel</v>
      </c>
      <c r="L223" t="str">
        <f>_xlfn.IFNA(VLOOKUP(C223,merchants!$A$2:$D$41,4,FALSE),"Merchant not found")</f>
        <v>South</v>
      </c>
      <c r="M223" s="2">
        <f>HLOOKUP(G223,Fees!$B$1:$E$2,2,FALSE)</f>
        <v>0</v>
      </c>
      <c r="N223" t="str">
        <f>IF(AND(K223&lt;&gt;"East",GETPIVOTDATA("amount_inr",'Daily Totals'!$A$4,"merchant_name",J223,"Days (transaction_time)",TEXT(D223,"dd-mmm"))&gt;5000),"High-Value Merchant Day", "Normal")</f>
        <v>Normal</v>
      </c>
    </row>
    <row r="224" spans="1:14" x14ac:dyDescent="0.3">
      <c r="A224" t="s">
        <v>237</v>
      </c>
      <c r="B224">
        <v>287</v>
      </c>
      <c r="C224">
        <v>23</v>
      </c>
      <c r="D224" s="1">
        <v>46045.313888888886</v>
      </c>
      <c r="E224" s="8">
        <f t="shared" si="3"/>
        <v>46045</v>
      </c>
      <c r="F224">
        <v>49</v>
      </c>
      <c r="G224" t="s">
        <v>12</v>
      </c>
      <c r="H224" t="s">
        <v>10</v>
      </c>
      <c r="I224">
        <v>9</v>
      </c>
      <c r="J224" t="str">
        <f>_xlfn.IFNA(VLOOKUP(C224,merchants!$A$2:$D$41,2,FALSE),"Merchant not found")</f>
        <v>Merchant_023</v>
      </c>
      <c r="K224" t="str">
        <f>_xlfn.IFNA(VLOOKUP(C224,merchants!$A$2:$D$41,3,FALSE),"Merchant not found")</f>
        <v>travel</v>
      </c>
      <c r="L224" t="str">
        <f>_xlfn.IFNA(VLOOKUP(C224,merchants!$A$2:$D$41,4,FALSE),"Merchant not found")</f>
        <v>North</v>
      </c>
      <c r="M224" s="2">
        <f>HLOOKUP(G224,Fees!$B$1:$E$2,2,FALSE)</f>
        <v>0</v>
      </c>
      <c r="N224" t="str">
        <f>IF(AND(K224&lt;&gt;"East",GETPIVOTDATA("amount_inr",'Daily Totals'!$A$4,"merchant_name",J224,"Days (transaction_time)",TEXT(D224,"dd-mmm"))&gt;5000),"High-Value Merchant Day", "Normal")</f>
        <v>Normal</v>
      </c>
    </row>
    <row r="225" spans="1:14" x14ac:dyDescent="0.3">
      <c r="A225" t="s">
        <v>238</v>
      </c>
      <c r="B225">
        <v>224</v>
      </c>
      <c r="C225">
        <v>2</v>
      </c>
      <c r="D225" s="1">
        <v>46035.959722222222</v>
      </c>
      <c r="E225" s="8">
        <f t="shared" si="3"/>
        <v>46035</v>
      </c>
      <c r="F225">
        <v>49</v>
      </c>
      <c r="G225" t="s">
        <v>24</v>
      </c>
      <c r="H225" t="s">
        <v>10</v>
      </c>
      <c r="I225">
        <v>58</v>
      </c>
      <c r="J225" t="str">
        <f>_xlfn.IFNA(VLOOKUP(C225,merchants!$A$2:$D$41,2,FALSE),"Merchant not found")</f>
        <v>Merchant_002</v>
      </c>
      <c r="K225" t="str">
        <f>_xlfn.IFNA(VLOOKUP(C225,merchants!$A$2:$D$41,3,FALSE),"Merchant not found")</f>
        <v>grocery</v>
      </c>
      <c r="L225" t="str">
        <f>_xlfn.IFNA(VLOOKUP(C225,merchants!$A$2:$D$41,4,FALSE),"Merchant not found")</f>
        <v>West</v>
      </c>
      <c r="M225" s="2">
        <f>HLOOKUP(G225,Fees!$B$1:$E$2,2,FALSE)</f>
        <v>0.02</v>
      </c>
      <c r="N225" t="str">
        <f>IF(AND(K225&lt;&gt;"East",GETPIVOTDATA("amount_inr",'Daily Totals'!$A$4,"merchant_name",J225,"Days (transaction_time)",TEXT(D225,"dd-mmm"))&gt;5000),"High-Value Merchant Day", "Normal")</f>
        <v>Normal</v>
      </c>
    </row>
    <row r="226" spans="1:14" x14ac:dyDescent="0.3">
      <c r="A226" t="s">
        <v>239</v>
      </c>
      <c r="B226">
        <v>161</v>
      </c>
      <c r="C226">
        <v>37</v>
      </c>
      <c r="D226" s="1">
        <v>46052.121527777781</v>
      </c>
      <c r="E226" s="8">
        <f t="shared" si="3"/>
        <v>46052</v>
      </c>
      <c r="F226">
        <v>299</v>
      </c>
      <c r="G226" t="s">
        <v>12</v>
      </c>
      <c r="H226" t="s">
        <v>10</v>
      </c>
      <c r="I226">
        <v>54</v>
      </c>
      <c r="J226" t="str">
        <f>_xlfn.IFNA(VLOOKUP(C226,merchants!$A$2:$D$41,2,FALSE),"Merchant not found")</f>
        <v>Merchant_037</v>
      </c>
      <c r="K226" t="str">
        <f>_xlfn.IFNA(VLOOKUP(C226,merchants!$A$2:$D$41,3,FALSE),"Merchant not found")</f>
        <v>entertainment</v>
      </c>
      <c r="L226" t="str">
        <f>_xlfn.IFNA(VLOOKUP(C226,merchants!$A$2:$D$41,4,FALSE),"Merchant not found")</f>
        <v>South</v>
      </c>
      <c r="M226" s="2">
        <f>HLOOKUP(G226,Fees!$B$1:$E$2,2,FALSE)</f>
        <v>0</v>
      </c>
      <c r="N226" t="str">
        <f>IF(AND(K226&lt;&gt;"East",GETPIVOTDATA("amount_inr",'Daily Totals'!$A$4,"merchant_name",J226,"Days (transaction_time)",TEXT(D226,"dd-mmm"))&gt;5000),"High-Value Merchant Day", "Normal")</f>
        <v>Normal</v>
      </c>
    </row>
    <row r="227" spans="1:14" x14ac:dyDescent="0.3">
      <c r="A227" t="s">
        <v>240</v>
      </c>
      <c r="B227">
        <v>328</v>
      </c>
      <c r="C227">
        <v>27</v>
      </c>
      <c r="D227" s="1">
        <v>46041.53125</v>
      </c>
      <c r="E227" s="8">
        <f t="shared" si="3"/>
        <v>46041</v>
      </c>
      <c r="F227">
        <v>49</v>
      </c>
      <c r="G227" t="s">
        <v>12</v>
      </c>
      <c r="H227" t="s">
        <v>38</v>
      </c>
      <c r="I227">
        <v>37</v>
      </c>
      <c r="J227" t="str">
        <f>_xlfn.IFNA(VLOOKUP(C227,merchants!$A$2:$D$41,2,FALSE),"Merchant not found")</f>
        <v>Merchant_027</v>
      </c>
      <c r="K227" t="str">
        <f>_xlfn.IFNA(VLOOKUP(C227,merchants!$A$2:$D$41,3,FALSE),"Merchant not found")</f>
        <v>ecommerce</v>
      </c>
      <c r="L227" t="str">
        <f>_xlfn.IFNA(VLOOKUP(C227,merchants!$A$2:$D$41,4,FALSE),"Merchant not found")</f>
        <v>North</v>
      </c>
      <c r="M227" s="2">
        <f>HLOOKUP(G227,Fees!$B$1:$E$2,2,FALSE)</f>
        <v>0</v>
      </c>
      <c r="N227" t="str">
        <f>IF(AND(K227&lt;&gt;"East",GETPIVOTDATA("amount_inr",'Daily Totals'!$A$4,"merchant_name",J227,"Days (transaction_time)",TEXT(D227,"dd-mmm"))&gt;5000),"High-Value Merchant Day", "Normal")</f>
        <v>Normal</v>
      </c>
    </row>
    <row r="228" spans="1:14" x14ac:dyDescent="0.3">
      <c r="A228" t="s">
        <v>241</v>
      </c>
      <c r="B228">
        <v>167</v>
      </c>
      <c r="C228">
        <v>11</v>
      </c>
      <c r="D228" s="1">
        <v>46026.500694444447</v>
      </c>
      <c r="E228" s="8">
        <f t="shared" si="3"/>
        <v>46026</v>
      </c>
      <c r="F228">
        <v>1499</v>
      </c>
      <c r="G228" t="s">
        <v>24</v>
      </c>
      <c r="H228" t="s">
        <v>25</v>
      </c>
      <c r="I228">
        <v>79</v>
      </c>
      <c r="J228" t="str">
        <f>_xlfn.IFNA(VLOOKUP(C228,merchants!$A$2:$D$41,2,FALSE),"Merchant not found")</f>
        <v>Merchant_011</v>
      </c>
      <c r="K228" t="str">
        <f>_xlfn.IFNA(VLOOKUP(C228,merchants!$A$2:$D$41,3,FALSE),"Merchant not found")</f>
        <v>ecommerce</v>
      </c>
      <c r="L228" t="str">
        <f>_xlfn.IFNA(VLOOKUP(C228,merchants!$A$2:$D$41,4,FALSE),"Merchant not found")</f>
        <v>North</v>
      </c>
      <c r="M228" s="2">
        <f>HLOOKUP(G228,Fees!$B$1:$E$2,2,FALSE)</f>
        <v>0.02</v>
      </c>
      <c r="N228" t="str">
        <f>IF(AND(K228&lt;&gt;"East",GETPIVOTDATA("amount_inr",'Daily Totals'!$A$4,"merchant_name",J228,"Days (transaction_time)",TEXT(D228,"dd-mmm"))&gt;5000),"High-Value Merchant Day", "Normal")</f>
        <v>Normal</v>
      </c>
    </row>
    <row r="229" spans="1:14" x14ac:dyDescent="0.3">
      <c r="A229" t="s">
        <v>242</v>
      </c>
      <c r="B229">
        <v>186</v>
      </c>
      <c r="C229">
        <v>6</v>
      </c>
      <c r="D229" s="1">
        <v>46037.956944444442</v>
      </c>
      <c r="E229" s="8">
        <f t="shared" si="3"/>
        <v>46037</v>
      </c>
      <c r="F229">
        <v>49</v>
      </c>
      <c r="G229" t="s">
        <v>9</v>
      </c>
      <c r="H229" t="s">
        <v>10</v>
      </c>
      <c r="I229">
        <v>55</v>
      </c>
      <c r="J229" t="str">
        <f>_xlfn.IFNA(VLOOKUP(C229,merchants!$A$2:$D$41,2,FALSE),"Merchant not found")</f>
        <v>Merchant_006</v>
      </c>
      <c r="K229" t="str">
        <f>_xlfn.IFNA(VLOOKUP(C229,merchants!$A$2:$D$41,3,FALSE),"Merchant not found")</f>
        <v>food_delivery</v>
      </c>
      <c r="L229" t="str">
        <f>_xlfn.IFNA(VLOOKUP(C229,merchants!$A$2:$D$41,4,FALSE),"Merchant not found")</f>
        <v>South</v>
      </c>
      <c r="M229" s="2">
        <f>HLOOKUP(G229,Fees!$B$1:$E$2,2,FALSE)</f>
        <v>1.4999999999999999E-2</v>
      </c>
      <c r="N229" t="str">
        <f>IF(AND(K229&lt;&gt;"East",GETPIVOTDATA("amount_inr",'Daily Totals'!$A$4,"merchant_name",J229,"Days (transaction_time)",TEXT(D229,"dd-mmm"))&gt;5000),"High-Value Merchant Day", "Normal")</f>
        <v>Normal</v>
      </c>
    </row>
    <row r="230" spans="1:14" x14ac:dyDescent="0.3">
      <c r="A230" t="s">
        <v>243</v>
      </c>
      <c r="B230">
        <v>224</v>
      </c>
      <c r="C230">
        <v>38</v>
      </c>
      <c r="D230" s="1">
        <v>46050.135416666664</v>
      </c>
      <c r="E230" s="8">
        <f t="shared" si="3"/>
        <v>46050</v>
      </c>
      <c r="F230">
        <v>299</v>
      </c>
      <c r="G230" t="s">
        <v>9</v>
      </c>
      <c r="H230" t="s">
        <v>25</v>
      </c>
      <c r="I230">
        <v>51</v>
      </c>
      <c r="J230" t="str">
        <f>_xlfn.IFNA(VLOOKUP(C230,merchants!$A$2:$D$41,2,FALSE),"Merchant not found")</f>
        <v>Merchant_038</v>
      </c>
      <c r="K230" t="str">
        <f>_xlfn.IFNA(VLOOKUP(C230,merchants!$A$2:$D$41,3,FALSE),"Merchant not found")</f>
        <v>grocery</v>
      </c>
      <c r="L230" t="str">
        <f>_xlfn.IFNA(VLOOKUP(C230,merchants!$A$2:$D$41,4,FALSE),"Merchant not found")</f>
        <v>East</v>
      </c>
      <c r="M230" s="2">
        <f>HLOOKUP(G230,Fees!$B$1:$E$2,2,FALSE)</f>
        <v>1.4999999999999999E-2</v>
      </c>
      <c r="N230" t="str">
        <f>IF(AND(K230&lt;&gt;"East",GETPIVOTDATA("amount_inr",'Daily Totals'!$A$4,"merchant_name",J230,"Days (transaction_time)",TEXT(D230,"dd-mmm"))&gt;5000),"High-Value Merchant Day", "Normal")</f>
        <v>Normal</v>
      </c>
    </row>
    <row r="231" spans="1:14" x14ac:dyDescent="0.3">
      <c r="A231" t="s">
        <v>244</v>
      </c>
      <c r="B231">
        <v>159</v>
      </c>
      <c r="C231">
        <v>22</v>
      </c>
      <c r="D231" s="1">
        <v>46039.100694444445</v>
      </c>
      <c r="E231" s="8">
        <f t="shared" si="3"/>
        <v>46039</v>
      </c>
      <c r="F231">
        <v>799</v>
      </c>
      <c r="G231" t="s">
        <v>12</v>
      </c>
      <c r="H231" t="s">
        <v>10</v>
      </c>
      <c r="I231">
        <v>28</v>
      </c>
      <c r="J231" t="str">
        <f>_xlfn.IFNA(VLOOKUP(C231,merchants!$A$2:$D$41,2,FALSE),"Merchant not found")</f>
        <v>Merchant_022</v>
      </c>
      <c r="K231" t="str">
        <f>_xlfn.IFNA(VLOOKUP(C231,merchants!$A$2:$D$41,3,FALSE),"Merchant not found")</f>
        <v>travel</v>
      </c>
      <c r="L231" t="str">
        <f>_xlfn.IFNA(VLOOKUP(C231,merchants!$A$2:$D$41,4,FALSE),"Merchant not found")</f>
        <v>South</v>
      </c>
      <c r="M231" s="2">
        <f>HLOOKUP(G231,Fees!$B$1:$E$2,2,FALSE)</f>
        <v>0</v>
      </c>
      <c r="N231" t="str">
        <f>IF(AND(K231&lt;&gt;"East",GETPIVOTDATA("amount_inr",'Daily Totals'!$A$4,"merchant_name",J231,"Days (transaction_time)",TEXT(D231,"dd-mmm"))&gt;5000),"High-Value Merchant Day", "Normal")</f>
        <v>Normal</v>
      </c>
    </row>
    <row r="232" spans="1:14" x14ac:dyDescent="0.3">
      <c r="A232" t="s">
        <v>245</v>
      </c>
      <c r="B232">
        <v>262</v>
      </c>
      <c r="C232">
        <v>8</v>
      </c>
      <c r="D232" s="1">
        <v>46033.211111111108</v>
      </c>
      <c r="E232" s="8">
        <f t="shared" si="3"/>
        <v>46033</v>
      </c>
      <c r="F232">
        <v>149</v>
      </c>
      <c r="G232" t="s">
        <v>12</v>
      </c>
      <c r="H232" t="s">
        <v>10</v>
      </c>
      <c r="I232">
        <v>67</v>
      </c>
      <c r="J232" t="str">
        <f>_xlfn.IFNA(VLOOKUP(C232,merchants!$A$2:$D$41,2,FALSE),"Merchant not found")</f>
        <v>Merchant_008</v>
      </c>
      <c r="K232" t="str">
        <f>_xlfn.IFNA(VLOOKUP(C232,merchants!$A$2:$D$41,3,FALSE),"Merchant not found")</f>
        <v>food_delivery</v>
      </c>
      <c r="L232" t="str">
        <f>_xlfn.IFNA(VLOOKUP(C232,merchants!$A$2:$D$41,4,FALSE),"Merchant not found")</f>
        <v>North</v>
      </c>
      <c r="M232" s="2">
        <f>HLOOKUP(G232,Fees!$B$1:$E$2,2,FALSE)</f>
        <v>0</v>
      </c>
      <c r="N232" t="str">
        <f>IF(AND(K232&lt;&gt;"East",GETPIVOTDATA("amount_inr",'Daily Totals'!$A$4,"merchant_name",J232,"Days (transaction_time)",TEXT(D232,"dd-mmm"))&gt;5000),"High-Value Merchant Day", "Normal")</f>
        <v>Normal</v>
      </c>
    </row>
    <row r="233" spans="1:14" x14ac:dyDescent="0.3">
      <c r="A233" t="s">
        <v>246</v>
      </c>
      <c r="B233">
        <v>179</v>
      </c>
      <c r="C233">
        <v>23</v>
      </c>
      <c r="D233" s="1">
        <v>46039.289583333331</v>
      </c>
      <c r="E233" s="8">
        <f t="shared" si="3"/>
        <v>46039</v>
      </c>
      <c r="F233">
        <v>49</v>
      </c>
      <c r="G233" t="s">
        <v>9</v>
      </c>
      <c r="H233" t="s">
        <v>10</v>
      </c>
      <c r="I233">
        <v>93</v>
      </c>
      <c r="J233" t="str">
        <f>_xlfn.IFNA(VLOOKUP(C233,merchants!$A$2:$D$41,2,FALSE),"Merchant not found")</f>
        <v>Merchant_023</v>
      </c>
      <c r="K233" t="str">
        <f>_xlfn.IFNA(VLOOKUP(C233,merchants!$A$2:$D$41,3,FALSE),"Merchant not found")</f>
        <v>travel</v>
      </c>
      <c r="L233" t="str">
        <f>_xlfn.IFNA(VLOOKUP(C233,merchants!$A$2:$D$41,4,FALSE),"Merchant not found")</f>
        <v>North</v>
      </c>
      <c r="M233" s="2">
        <f>HLOOKUP(G233,Fees!$B$1:$E$2,2,FALSE)</f>
        <v>1.4999999999999999E-2</v>
      </c>
      <c r="N233" t="str">
        <f>IF(AND(K233&lt;&gt;"East",GETPIVOTDATA("amount_inr",'Daily Totals'!$A$4,"merchant_name",J233,"Days (transaction_time)",TEXT(D233,"dd-mmm"))&gt;5000),"High-Value Merchant Day", "Normal")</f>
        <v>Normal</v>
      </c>
    </row>
    <row r="234" spans="1:14" x14ac:dyDescent="0.3">
      <c r="A234" t="s">
        <v>247</v>
      </c>
      <c r="B234">
        <v>76</v>
      </c>
      <c r="C234">
        <v>16</v>
      </c>
      <c r="D234" s="1">
        <v>46049.869444444441</v>
      </c>
      <c r="E234" s="8">
        <f t="shared" si="3"/>
        <v>46049</v>
      </c>
      <c r="F234">
        <v>299</v>
      </c>
      <c r="G234" t="s">
        <v>12</v>
      </c>
      <c r="H234" t="s">
        <v>10</v>
      </c>
      <c r="I234">
        <v>13</v>
      </c>
      <c r="J234" t="str">
        <f>_xlfn.IFNA(VLOOKUP(C234,merchants!$A$2:$D$41,2,FALSE),"Merchant not found")</f>
        <v>Merchant_016</v>
      </c>
      <c r="K234" t="str">
        <f>_xlfn.IFNA(VLOOKUP(C234,merchants!$A$2:$D$41,3,FALSE),"Merchant not found")</f>
        <v>bill_payment</v>
      </c>
      <c r="L234" t="str">
        <f>_xlfn.IFNA(VLOOKUP(C234,merchants!$A$2:$D$41,4,FALSE),"Merchant not found")</f>
        <v>West</v>
      </c>
      <c r="M234" s="2">
        <f>HLOOKUP(G234,Fees!$B$1:$E$2,2,FALSE)</f>
        <v>0</v>
      </c>
      <c r="N234" t="str">
        <f>IF(AND(K234&lt;&gt;"East",GETPIVOTDATA("amount_inr",'Daily Totals'!$A$4,"merchant_name",J234,"Days (transaction_time)",TEXT(D234,"dd-mmm"))&gt;5000),"High-Value Merchant Day", "Normal")</f>
        <v>Normal</v>
      </c>
    </row>
    <row r="235" spans="1:14" x14ac:dyDescent="0.3">
      <c r="A235" t="s">
        <v>248</v>
      </c>
      <c r="B235">
        <v>89</v>
      </c>
      <c r="C235">
        <v>39</v>
      </c>
      <c r="D235" s="1">
        <v>46027.341666666667</v>
      </c>
      <c r="E235" s="8">
        <f t="shared" si="3"/>
        <v>46027</v>
      </c>
      <c r="F235">
        <v>299</v>
      </c>
      <c r="G235" t="s">
        <v>12</v>
      </c>
      <c r="H235" t="s">
        <v>10</v>
      </c>
      <c r="I235">
        <v>19</v>
      </c>
      <c r="J235" t="str">
        <f>_xlfn.IFNA(VLOOKUP(C235,merchants!$A$2:$D$41,2,FALSE),"Merchant not found")</f>
        <v>Merchant_039</v>
      </c>
      <c r="K235" t="str">
        <f>_xlfn.IFNA(VLOOKUP(C235,merchants!$A$2:$D$41,3,FALSE),"Merchant not found")</f>
        <v>entertainment</v>
      </c>
      <c r="L235" t="str">
        <f>_xlfn.IFNA(VLOOKUP(C235,merchants!$A$2:$D$41,4,FALSE),"Merchant not found")</f>
        <v>North</v>
      </c>
      <c r="M235" s="2">
        <f>HLOOKUP(G235,Fees!$B$1:$E$2,2,FALSE)</f>
        <v>0</v>
      </c>
      <c r="N235" t="str">
        <f>IF(AND(K235&lt;&gt;"East",GETPIVOTDATA("amount_inr",'Daily Totals'!$A$4,"merchant_name",J235,"Days (transaction_time)",TEXT(D235,"dd-mmm"))&gt;5000),"High-Value Merchant Day", "Normal")</f>
        <v>Normal</v>
      </c>
    </row>
    <row r="236" spans="1:14" x14ac:dyDescent="0.3">
      <c r="A236" t="s">
        <v>249</v>
      </c>
      <c r="B236">
        <v>91</v>
      </c>
      <c r="C236">
        <v>32</v>
      </c>
      <c r="D236" s="1">
        <v>46047.836111111108</v>
      </c>
      <c r="E236" s="8">
        <f t="shared" si="3"/>
        <v>46047</v>
      </c>
      <c r="F236">
        <v>49</v>
      </c>
      <c r="G236" t="s">
        <v>12</v>
      </c>
      <c r="H236" t="s">
        <v>10</v>
      </c>
      <c r="I236">
        <v>59</v>
      </c>
      <c r="J236" t="str">
        <f>_xlfn.IFNA(VLOOKUP(C236,merchants!$A$2:$D$41,2,FALSE),"Merchant not found")</f>
        <v>Merchant_032</v>
      </c>
      <c r="K236" t="str">
        <f>_xlfn.IFNA(VLOOKUP(C236,merchants!$A$2:$D$41,3,FALSE),"Merchant not found")</f>
        <v>food_delivery</v>
      </c>
      <c r="L236" t="str">
        <f>_xlfn.IFNA(VLOOKUP(C236,merchants!$A$2:$D$41,4,FALSE),"Merchant not found")</f>
        <v>West</v>
      </c>
      <c r="M236" s="2">
        <f>HLOOKUP(G236,Fees!$B$1:$E$2,2,FALSE)</f>
        <v>0</v>
      </c>
      <c r="N236" t="str">
        <f>IF(AND(K236&lt;&gt;"East",GETPIVOTDATA("amount_inr",'Daily Totals'!$A$4,"merchant_name",J236,"Days (transaction_time)",TEXT(D236,"dd-mmm"))&gt;5000),"High-Value Merchant Day", "Normal")</f>
        <v>Normal</v>
      </c>
    </row>
    <row r="237" spans="1:14" x14ac:dyDescent="0.3">
      <c r="A237" t="s">
        <v>250</v>
      </c>
      <c r="B237">
        <v>297</v>
      </c>
      <c r="C237">
        <v>29</v>
      </c>
      <c r="D237" s="1">
        <v>46047.783333333333</v>
      </c>
      <c r="E237" s="8">
        <f t="shared" si="3"/>
        <v>46047</v>
      </c>
      <c r="F237">
        <v>99</v>
      </c>
      <c r="G237" t="s">
        <v>24</v>
      </c>
      <c r="H237" t="s">
        <v>38</v>
      </c>
      <c r="I237">
        <v>87</v>
      </c>
      <c r="J237" t="str">
        <f>_xlfn.IFNA(VLOOKUP(C237,merchants!$A$2:$D$41,2,FALSE),"Merchant not found")</f>
        <v>Merchant_029</v>
      </c>
      <c r="K237" t="str">
        <f>_xlfn.IFNA(VLOOKUP(C237,merchants!$A$2:$D$41,3,FALSE),"Merchant not found")</f>
        <v>ecommerce</v>
      </c>
      <c r="L237" t="str">
        <f>_xlfn.IFNA(VLOOKUP(C237,merchants!$A$2:$D$41,4,FALSE),"Merchant not found")</f>
        <v>North</v>
      </c>
      <c r="M237" s="2">
        <f>HLOOKUP(G237,Fees!$B$1:$E$2,2,FALSE)</f>
        <v>0.02</v>
      </c>
      <c r="N237" t="str">
        <f>IF(AND(K237&lt;&gt;"East",GETPIVOTDATA("amount_inr",'Daily Totals'!$A$4,"merchant_name",J237,"Days (transaction_time)",TEXT(D237,"dd-mmm"))&gt;5000),"High-Value Merchant Day", "Normal")</f>
        <v>Normal</v>
      </c>
    </row>
    <row r="238" spans="1:14" x14ac:dyDescent="0.3">
      <c r="A238" t="s">
        <v>251</v>
      </c>
      <c r="B238">
        <v>326</v>
      </c>
      <c r="C238">
        <v>40</v>
      </c>
      <c r="D238" s="1">
        <v>46052.77847222222</v>
      </c>
      <c r="E238" s="8">
        <f t="shared" si="3"/>
        <v>46052</v>
      </c>
      <c r="F238">
        <v>499</v>
      </c>
      <c r="G238" t="s">
        <v>24</v>
      </c>
      <c r="H238" t="s">
        <v>10</v>
      </c>
      <c r="I238">
        <v>41</v>
      </c>
      <c r="J238" t="str">
        <f>_xlfn.IFNA(VLOOKUP(C238,merchants!$A$2:$D$41,2,FALSE),"Merchant not found")</f>
        <v>Merchant_040</v>
      </c>
      <c r="K238" t="str">
        <f>_xlfn.IFNA(VLOOKUP(C238,merchants!$A$2:$D$41,3,FALSE),"Merchant not found")</f>
        <v>entertainment</v>
      </c>
      <c r="L238" t="str">
        <f>_xlfn.IFNA(VLOOKUP(C238,merchants!$A$2:$D$41,4,FALSE),"Merchant not found")</f>
        <v>South</v>
      </c>
      <c r="M238" s="2">
        <f>HLOOKUP(G238,Fees!$B$1:$E$2,2,FALSE)</f>
        <v>0.02</v>
      </c>
      <c r="N238" t="str">
        <f>IF(AND(K238&lt;&gt;"East",GETPIVOTDATA("amount_inr",'Daily Totals'!$A$4,"merchant_name",J238,"Days (transaction_time)",TEXT(D238,"dd-mmm"))&gt;5000),"High-Value Merchant Day", "Normal")</f>
        <v>Normal</v>
      </c>
    </row>
    <row r="239" spans="1:14" x14ac:dyDescent="0.3">
      <c r="A239" t="s">
        <v>252</v>
      </c>
      <c r="B239">
        <v>78</v>
      </c>
      <c r="C239">
        <v>29</v>
      </c>
      <c r="D239" s="1">
        <v>46050.847222222219</v>
      </c>
      <c r="E239" s="8">
        <f t="shared" si="3"/>
        <v>46050</v>
      </c>
      <c r="F239">
        <v>149</v>
      </c>
      <c r="G239" t="s">
        <v>12</v>
      </c>
      <c r="H239" t="s">
        <v>10</v>
      </c>
      <c r="I239">
        <v>8</v>
      </c>
      <c r="J239" t="str">
        <f>_xlfn.IFNA(VLOOKUP(C239,merchants!$A$2:$D$41,2,FALSE),"Merchant not found")</f>
        <v>Merchant_029</v>
      </c>
      <c r="K239" t="str">
        <f>_xlfn.IFNA(VLOOKUP(C239,merchants!$A$2:$D$41,3,FALSE),"Merchant not found")</f>
        <v>ecommerce</v>
      </c>
      <c r="L239" t="str">
        <f>_xlfn.IFNA(VLOOKUP(C239,merchants!$A$2:$D$41,4,FALSE),"Merchant not found")</f>
        <v>North</v>
      </c>
      <c r="M239" s="2">
        <f>HLOOKUP(G239,Fees!$B$1:$E$2,2,FALSE)</f>
        <v>0</v>
      </c>
      <c r="N239" t="str">
        <f>IF(AND(K239&lt;&gt;"East",GETPIVOTDATA("amount_inr",'Daily Totals'!$A$4,"merchant_name",J239,"Days (transaction_time)",TEXT(D239,"dd-mmm"))&gt;5000),"High-Value Merchant Day", "Normal")</f>
        <v>Normal</v>
      </c>
    </row>
    <row r="240" spans="1:14" x14ac:dyDescent="0.3">
      <c r="A240" t="s">
        <v>253</v>
      </c>
      <c r="B240">
        <v>156</v>
      </c>
      <c r="C240">
        <v>18</v>
      </c>
      <c r="D240" s="1">
        <v>46038.611111111109</v>
      </c>
      <c r="E240" s="8">
        <f t="shared" si="3"/>
        <v>46038</v>
      </c>
      <c r="F240">
        <v>2999</v>
      </c>
      <c r="G240" t="s">
        <v>24</v>
      </c>
      <c r="H240" t="s">
        <v>10</v>
      </c>
      <c r="I240">
        <v>75</v>
      </c>
      <c r="J240" t="str">
        <f>_xlfn.IFNA(VLOOKUP(C240,merchants!$A$2:$D$41,2,FALSE),"Merchant not found")</f>
        <v>Merchant_018</v>
      </c>
      <c r="K240" t="str">
        <f>_xlfn.IFNA(VLOOKUP(C240,merchants!$A$2:$D$41,3,FALSE),"Merchant not found")</f>
        <v>grocery</v>
      </c>
      <c r="L240" t="str">
        <f>_xlfn.IFNA(VLOOKUP(C240,merchants!$A$2:$D$41,4,FALSE),"Merchant not found")</f>
        <v>West</v>
      </c>
      <c r="M240" s="2">
        <f>HLOOKUP(G240,Fees!$B$1:$E$2,2,FALSE)</f>
        <v>0.02</v>
      </c>
      <c r="N240" t="str">
        <f>IF(AND(K240&lt;&gt;"East",GETPIVOTDATA("amount_inr",'Daily Totals'!$A$4,"merchant_name",J240,"Days (transaction_time)",TEXT(D240,"dd-mmm"))&gt;5000),"High-Value Merchant Day", "Normal")</f>
        <v>Normal</v>
      </c>
    </row>
    <row r="241" spans="1:14" x14ac:dyDescent="0.3">
      <c r="A241" t="s">
        <v>254</v>
      </c>
      <c r="B241">
        <v>38</v>
      </c>
      <c r="C241">
        <v>20</v>
      </c>
      <c r="D241" s="1">
        <v>46024.480555555558</v>
      </c>
      <c r="E241" s="8">
        <f t="shared" si="3"/>
        <v>46024</v>
      </c>
      <c r="F241">
        <v>49</v>
      </c>
      <c r="G241" t="s">
        <v>9</v>
      </c>
      <c r="H241" t="s">
        <v>25</v>
      </c>
      <c r="I241">
        <v>59</v>
      </c>
      <c r="J241" t="str">
        <f>_xlfn.IFNA(VLOOKUP(C241,merchants!$A$2:$D$41,2,FALSE),"Merchant not found")</f>
        <v>Merchant_020</v>
      </c>
      <c r="K241" t="str">
        <f>_xlfn.IFNA(VLOOKUP(C241,merchants!$A$2:$D$41,3,FALSE),"Merchant not found")</f>
        <v>food_delivery</v>
      </c>
      <c r="L241" t="str">
        <f>_xlfn.IFNA(VLOOKUP(C241,merchants!$A$2:$D$41,4,FALSE),"Merchant not found")</f>
        <v>East</v>
      </c>
      <c r="M241" s="2">
        <f>HLOOKUP(G241,Fees!$B$1:$E$2,2,FALSE)</f>
        <v>1.4999999999999999E-2</v>
      </c>
      <c r="N241" t="str">
        <f>IF(AND(K241&lt;&gt;"East",GETPIVOTDATA("amount_inr",'Daily Totals'!$A$4,"merchant_name",J241,"Days (transaction_time)",TEXT(D241,"dd-mmm"))&gt;5000),"High-Value Merchant Day", "Normal")</f>
        <v>Normal</v>
      </c>
    </row>
    <row r="242" spans="1:14" x14ac:dyDescent="0.3">
      <c r="A242" t="s">
        <v>255</v>
      </c>
      <c r="B242">
        <v>189</v>
      </c>
      <c r="C242">
        <v>19</v>
      </c>
      <c r="D242" s="1">
        <v>46037.043749999997</v>
      </c>
      <c r="E242" s="8">
        <f t="shared" si="3"/>
        <v>46037</v>
      </c>
      <c r="F242">
        <v>99</v>
      </c>
      <c r="G242" t="s">
        <v>12</v>
      </c>
      <c r="H242" t="s">
        <v>25</v>
      </c>
      <c r="I242">
        <v>9</v>
      </c>
      <c r="J242" t="str">
        <f>_xlfn.IFNA(VLOOKUP(C242,merchants!$A$2:$D$41,2,FALSE),"Merchant not found")</f>
        <v>Merchant_019</v>
      </c>
      <c r="K242" t="str">
        <f>_xlfn.IFNA(VLOOKUP(C242,merchants!$A$2:$D$41,3,FALSE),"Merchant not found")</f>
        <v>grocery</v>
      </c>
      <c r="L242" t="str">
        <f>_xlfn.IFNA(VLOOKUP(C242,merchants!$A$2:$D$41,4,FALSE),"Merchant not found")</f>
        <v>North</v>
      </c>
      <c r="M242" s="2">
        <f>HLOOKUP(G242,Fees!$B$1:$E$2,2,FALSE)</f>
        <v>0</v>
      </c>
      <c r="N242" t="str">
        <f>IF(AND(K242&lt;&gt;"East",GETPIVOTDATA("amount_inr",'Daily Totals'!$A$4,"merchant_name",J242,"Days (transaction_time)",TEXT(D242,"dd-mmm"))&gt;5000),"High-Value Merchant Day", "Normal")</f>
        <v>Normal</v>
      </c>
    </row>
    <row r="243" spans="1:14" x14ac:dyDescent="0.3">
      <c r="A243" t="s">
        <v>256</v>
      </c>
      <c r="B243">
        <v>305</v>
      </c>
      <c r="C243">
        <v>33</v>
      </c>
      <c r="D243" s="1">
        <v>46043.11041666667</v>
      </c>
      <c r="E243" s="8">
        <f t="shared" si="3"/>
        <v>46043</v>
      </c>
      <c r="F243">
        <v>299</v>
      </c>
      <c r="G243" t="s">
        <v>24</v>
      </c>
      <c r="H243" t="s">
        <v>10</v>
      </c>
      <c r="I243">
        <v>49</v>
      </c>
      <c r="J243" t="str">
        <f>_xlfn.IFNA(VLOOKUP(C243,merchants!$A$2:$D$41,2,FALSE),"Merchant not found")</f>
        <v>Merchant_033</v>
      </c>
      <c r="K243" t="str">
        <f>_xlfn.IFNA(VLOOKUP(C243,merchants!$A$2:$D$41,3,FALSE),"Merchant not found")</f>
        <v>bill_payment</v>
      </c>
      <c r="L243" t="str">
        <f>_xlfn.IFNA(VLOOKUP(C243,merchants!$A$2:$D$41,4,FALSE),"Merchant not found")</f>
        <v>East</v>
      </c>
      <c r="M243" s="2">
        <f>HLOOKUP(G243,Fees!$B$1:$E$2,2,FALSE)</f>
        <v>0.02</v>
      </c>
      <c r="N243" t="str">
        <f>IF(AND(K243&lt;&gt;"East",GETPIVOTDATA("amount_inr",'Daily Totals'!$A$4,"merchant_name",J243,"Days (transaction_time)",TEXT(D243,"dd-mmm"))&gt;5000),"High-Value Merchant Day", "Normal")</f>
        <v>Normal</v>
      </c>
    </row>
    <row r="244" spans="1:14" x14ac:dyDescent="0.3">
      <c r="A244" t="s">
        <v>257</v>
      </c>
      <c r="B244">
        <v>22</v>
      </c>
      <c r="C244">
        <v>29</v>
      </c>
      <c r="D244" s="1">
        <v>46037.774305555555</v>
      </c>
      <c r="E244" s="8">
        <f t="shared" si="3"/>
        <v>46037</v>
      </c>
      <c r="F244">
        <v>799</v>
      </c>
      <c r="G244" t="s">
        <v>12</v>
      </c>
      <c r="H244" t="s">
        <v>10</v>
      </c>
      <c r="I244">
        <v>73</v>
      </c>
      <c r="J244" t="str">
        <f>_xlfn.IFNA(VLOOKUP(C244,merchants!$A$2:$D$41,2,FALSE),"Merchant not found")</f>
        <v>Merchant_029</v>
      </c>
      <c r="K244" t="str">
        <f>_xlfn.IFNA(VLOOKUP(C244,merchants!$A$2:$D$41,3,FALSE),"Merchant not found")</f>
        <v>ecommerce</v>
      </c>
      <c r="L244" t="str">
        <f>_xlfn.IFNA(VLOOKUP(C244,merchants!$A$2:$D$41,4,FALSE),"Merchant not found")</f>
        <v>North</v>
      </c>
      <c r="M244" s="2">
        <f>HLOOKUP(G244,Fees!$B$1:$E$2,2,FALSE)</f>
        <v>0</v>
      </c>
      <c r="N244" t="str">
        <f>IF(AND(K244&lt;&gt;"East",GETPIVOTDATA("amount_inr",'Daily Totals'!$A$4,"merchant_name",J244,"Days (transaction_time)",TEXT(D244,"dd-mmm"))&gt;5000),"High-Value Merchant Day", "Normal")</f>
        <v>Normal</v>
      </c>
    </row>
    <row r="245" spans="1:14" x14ac:dyDescent="0.3">
      <c r="A245" t="s">
        <v>258</v>
      </c>
      <c r="B245">
        <v>310</v>
      </c>
      <c r="C245">
        <v>31</v>
      </c>
      <c r="D245" s="1">
        <v>46043.263888888891</v>
      </c>
      <c r="E245" s="8">
        <f t="shared" si="3"/>
        <v>46043</v>
      </c>
      <c r="F245">
        <v>49</v>
      </c>
      <c r="G245" t="s">
        <v>24</v>
      </c>
      <c r="H245" t="s">
        <v>10</v>
      </c>
      <c r="I245">
        <v>64</v>
      </c>
      <c r="J245" t="str">
        <f>_xlfn.IFNA(VLOOKUP(C245,merchants!$A$2:$D$41,2,FALSE),"Merchant not found")</f>
        <v>Merchant_031</v>
      </c>
      <c r="K245" t="str">
        <f>_xlfn.IFNA(VLOOKUP(C245,merchants!$A$2:$D$41,3,FALSE),"Merchant not found")</f>
        <v>bill_payment</v>
      </c>
      <c r="L245" t="str">
        <f>_xlfn.IFNA(VLOOKUP(C245,merchants!$A$2:$D$41,4,FALSE),"Merchant not found")</f>
        <v>East</v>
      </c>
      <c r="M245" s="2">
        <f>HLOOKUP(G245,Fees!$B$1:$E$2,2,FALSE)</f>
        <v>0.02</v>
      </c>
      <c r="N245" t="str">
        <f>IF(AND(K245&lt;&gt;"East",GETPIVOTDATA("amount_inr",'Daily Totals'!$A$4,"merchant_name",J245,"Days (transaction_time)",TEXT(D245,"dd-mmm"))&gt;5000),"High-Value Merchant Day", "Normal")</f>
        <v>Normal</v>
      </c>
    </row>
    <row r="246" spans="1:14" x14ac:dyDescent="0.3">
      <c r="A246" t="s">
        <v>259</v>
      </c>
      <c r="B246">
        <v>53</v>
      </c>
      <c r="C246">
        <v>22</v>
      </c>
      <c r="D246" s="1">
        <v>46027.061111111114</v>
      </c>
      <c r="E246" s="8">
        <f t="shared" si="3"/>
        <v>46027</v>
      </c>
      <c r="F246">
        <v>299</v>
      </c>
      <c r="G246" t="s">
        <v>12</v>
      </c>
      <c r="H246" t="s">
        <v>10</v>
      </c>
      <c r="I246">
        <v>91</v>
      </c>
      <c r="J246" t="str">
        <f>_xlfn.IFNA(VLOOKUP(C246,merchants!$A$2:$D$41,2,FALSE),"Merchant not found")</f>
        <v>Merchant_022</v>
      </c>
      <c r="K246" t="str">
        <f>_xlfn.IFNA(VLOOKUP(C246,merchants!$A$2:$D$41,3,FALSE),"Merchant not found")</f>
        <v>travel</v>
      </c>
      <c r="L246" t="str">
        <f>_xlfn.IFNA(VLOOKUP(C246,merchants!$A$2:$D$41,4,FALSE),"Merchant not found")</f>
        <v>South</v>
      </c>
      <c r="M246" s="2">
        <f>HLOOKUP(G246,Fees!$B$1:$E$2,2,FALSE)</f>
        <v>0</v>
      </c>
      <c r="N246" t="str">
        <f>IF(AND(K246&lt;&gt;"East",GETPIVOTDATA("amount_inr",'Daily Totals'!$A$4,"merchant_name",J246,"Days (transaction_time)",TEXT(D246,"dd-mmm"))&gt;5000),"High-Value Merchant Day", "Normal")</f>
        <v>Normal</v>
      </c>
    </row>
    <row r="247" spans="1:14" x14ac:dyDescent="0.3">
      <c r="A247" t="s">
        <v>260</v>
      </c>
      <c r="B247">
        <v>89</v>
      </c>
      <c r="C247">
        <v>3</v>
      </c>
      <c r="D247" s="1">
        <v>46025.695138888892</v>
      </c>
      <c r="E247" s="8">
        <f t="shared" si="3"/>
        <v>46025</v>
      </c>
      <c r="F247">
        <v>149</v>
      </c>
      <c r="G247" t="s">
        <v>24</v>
      </c>
      <c r="H247" t="s">
        <v>10</v>
      </c>
      <c r="I247">
        <v>31</v>
      </c>
      <c r="J247" t="str">
        <f>_xlfn.IFNA(VLOOKUP(C247,merchants!$A$2:$D$41,2,FALSE),"Merchant not found")</f>
        <v>Merchant_003</v>
      </c>
      <c r="K247" t="str">
        <f>_xlfn.IFNA(VLOOKUP(C247,merchants!$A$2:$D$41,3,FALSE),"Merchant not found")</f>
        <v>grocery</v>
      </c>
      <c r="L247" t="str">
        <f>_xlfn.IFNA(VLOOKUP(C247,merchants!$A$2:$D$41,4,FALSE),"Merchant not found")</f>
        <v>East</v>
      </c>
      <c r="M247" s="2">
        <f>HLOOKUP(G247,Fees!$B$1:$E$2,2,FALSE)</f>
        <v>0.02</v>
      </c>
      <c r="N247" t="str">
        <f>IF(AND(K247&lt;&gt;"East",GETPIVOTDATA("amount_inr",'Daily Totals'!$A$4,"merchant_name",J247,"Days (transaction_time)",TEXT(D247,"dd-mmm"))&gt;5000),"High-Value Merchant Day", "Normal")</f>
        <v>Normal</v>
      </c>
    </row>
    <row r="248" spans="1:14" x14ac:dyDescent="0.3">
      <c r="A248" t="s">
        <v>261</v>
      </c>
      <c r="B248">
        <v>269</v>
      </c>
      <c r="C248">
        <v>34</v>
      </c>
      <c r="D248" s="1">
        <v>46045.602777777778</v>
      </c>
      <c r="E248" s="8">
        <f t="shared" si="3"/>
        <v>46045</v>
      </c>
      <c r="F248">
        <v>149</v>
      </c>
      <c r="G248" t="s">
        <v>12</v>
      </c>
      <c r="H248" t="s">
        <v>10</v>
      </c>
      <c r="I248">
        <v>78</v>
      </c>
      <c r="J248" t="str">
        <f>_xlfn.IFNA(VLOOKUP(C248,merchants!$A$2:$D$41,2,FALSE),"Merchant not found")</f>
        <v>Merchant_034</v>
      </c>
      <c r="K248" t="str">
        <f>_xlfn.IFNA(VLOOKUP(C248,merchants!$A$2:$D$41,3,FALSE),"Merchant not found")</f>
        <v>travel</v>
      </c>
      <c r="L248" t="str">
        <f>_xlfn.IFNA(VLOOKUP(C248,merchants!$A$2:$D$41,4,FALSE),"Merchant not found")</f>
        <v>South</v>
      </c>
      <c r="M248" s="2">
        <f>HLOOKUP(G248,Fees!$B$1:$E$2,2,FALSE)</f>
        <v>0</v>
      </c>
      <c r="N248" t="str">
        <f>IF(AND(K248&lt;&gt;"East",GETPIVOTDATA("amount_inr",'Daily Totals'!$A$4,"merchant_name",J248,"Days (transaction_time)",TEXT(D248,"dd-mmm"))&gt;5000),"High-Value Merchant Day", "Normal")</f>
        <v>Normal</v>
      </c>
    </row>
    <row r="249" spans="1:14" x14ac:dyDescent="0.3">
      <c r="A249" t="s">
        <v>262</v>
      </c>
      <c r="B249">
        <v>145</v>
      </c>
      <c r="C249">
        <v>25</v>
      </c>
      <c r="D249" s="1">
        <v>46028.474305555559</v>
      </c>
      <c r="E249" s="8">
        <f t="shared" si="3"/>
        <v>46028</v>
      </c>
      <c r="F249">
        <v>799</v>
      </c>
      <c r="G249" t="s">
        <v>12</v>
      </c>
      <c r="H249" t="s">
        <v>10</v>
      </c>
      <c r="I249">
        <v>52</v>
      </c>
      <c r="J249" t="str">
        <f>_xlfn.IFNA(VLOOKUP(C249,merchants!$A$2:$D$41,2,FALSE),"Merchant not found")</f>
        <v>Merchant_025</v>
      </c>
      <c r="K249" t="str">
        <f>_xlfn.IFNA(VLOOKUP(C249,merchants!$A$2:$D$41,3,FALSE),"Merchant not found")</f>
        <v>travel</v>
      </c>
      <c r="L249" t="str">
        <f>_xlfn.IFNA(VLOOKUP(C249,merchants!$A$2:$D$41,4,FALSE),"Merchant not found")</f>
        <v>South</v>
      </c>
      <c r="M249" s="2">
        <f>HLOOKUP(G249,Fees!$B$1:$E$2,2,FALSE)</f>
        <v>0</v>
      </c>
      <c r="N249" t="str">
        <f>IF(AND(K249&lt;&gt;"East",GETPIVOTDATA("amount_inr",'Daily Totals'!$A$4,"merchant_name",J249,"Days (transaction_time)",TEXT(D249,"dd-mmm"))&gt;5000),"High-Value Merchant Day", "Normal")</f>
        <v>Normal</v>
      </c>
    </row>
    <row r="250" spans="1:14" x14ac:dyDescent="0.3">
      <c r="A250" t="s">
        <v>263</v>
      </c>
      <c r="B250">
        <v>307</v>
      </c>
      <c r="C250">
        <v>4</v>
      </c>
      <c r="D250" s="1">
        <v>46047.446527777778</v>
      </c>
      <c r="E250" s="8">
        <f t="shared" si="3"/>
        <v>46047</v>
      </c>
      <c r="F250">
        <v>1499</v>
      </c>
      <c r="G250" t="s">
        <v>12</v>
      </c>
      <c r="H250" t="s">
        <v>10</v>
      </c>
      <c r="I250">
        <v>80</v>
      </c>
      <c r="J250" t="str">
        <f>_xlfn.IFNA(VLOOKUP(C250,merchants!$A$2:$D$41,2,FALSE),"Merchant not found")</f>
        <v>Merchant_004</v>
      </c>
      <c r="K250" t="str">
        <f>_xlfn.IFNA(VLOOKUP(C250,merchants!$A$2:$D$41,3,FALSE),"Merchant not found")</f>
        <v>ecommerce</v>
      </c>
      <c r="L250" t="str">
        <f>_xlfn.IFNA(VLOOKUP(C250,merchants!$A$2:$D$41,4,FALSE),"Merchant not found")</f>
        <v>East</v>
      </c>
      <c r="M250" s="2">
        <f>HLOOKUP(G250,Fees!$B$1:$E$2,2,FALSE)</f>
        <v>0</v>
      </c>
      <c r="N250" t="str">
        <f>IF(AND(K250&lt;&gt;"East",GETPIVOTDATA("amount_inr",'Daily Totals'!$A$4,"merchant_name",J250,"Days (transaction_time)",TEXT(D250,"dd-mmm"))&gt;5000),"High-Value Merchant Day", "Normal")</f>
        <v>Normal</v>
      </c>
    </row>
    <row r="251" spans="1:14" x14ac:dyDescent="0.3">
      <c r="A251" t="s">
        <v>264</v>
      </c>
      <c r="B251">
        <v>169</v>
      </c>
      <c r="C251">
        <v>7</v>
      </c>
      <c r="D251" s="1">
        <v>46043.419444444444</v>
      </c>
      <c r="E251" s="8">
        <f t="shared" si="3"/>
        <v>46043</v>
      </c>
      <c r="F251">
        <v>1499</v>
      </c>
      <c r="G251" t="s">
        <v>9</v>
      </c>
      <c r="H251" t="s">
        <v>10</v>
      </c>
      <c r="I251">
        <v>71</v>
      </c>
      <c r="J251" t="str">
        <f>_xlfn.IFNA(VLOOKUP(C251,merchants!$A$2:$D$41,2,FALSE),"Merchant not found")</f>
        <v>Merchant_007</v>
      </c>
      <c r="K251" t="str">
        <f>_xlfn.IFNA(VLOOKUP(C251,merchants!$A$2:$D$41,3,FALSE),"Merchant not found")</f>
        <v>food_delivery</v>
      </c>
      <c r="L251" t="str">
        <f>_xlfn.IFNA(VLOOKUP(C251,merchants!$A$2:$D$41,4,FALSE),"Merchant not found")</f>
        <v>East</v>
      </c>
      <c r="M251" s="2">
        <f>HLOOKUP(G251,Fees!$B$1:$E$2,2,FALSE)</f>
        <v>1.4999999999999999E-2</v>
      </c>
      <c r="N251" t="str">
        <f>IF(AND(K251&lt;&gt;"East",GETPIVOTDATA("amount_inr",'Daily Totals'!$A$4,"merchant_name",J251,"Days (transaction_time)",TEXT(D251,"dd-mmm"))&gt;5000),"High-Value Merchant Day", "Normal")</f>
        <v>Normal</v>
      </c>
    </row>
    <row r="252" spans="1:14" x14ac:dyDescent="0.3">
      <c r="A252" t="s">
        <v>265</v>
      </c>
      <c r="B252">
        <v>130</v>
      </c>
      <c r="C252">
        <v>39</v>
      </c>
      <c r="D252" s="1">
        <v>46044.512499999997</v>
      </c>
      <c r="E252" s="8">
        <f t="shared" si="3"/>
        <v>46044</v>
      </c>
      <c r="F252">
        <v>2999</v>
      </c>
      <c r="G252" t="s">
        <v>9</v>
      </c>
      <c r="H252" t="s">
        <v>10</v>
      </c>
      <c r="I252">
        <v>19</v>
      </c>
      <c r="J252" t="str">
        <f>_xlfn.IFNA(VLOOKUP(C252,merchants!$A$2:$D$41,2,FALSE),"Merchant not found")</f>
        <v>Merchant_039</v>
      </c>
      <c r="K252" t="str">
        <f>_xlfn.IFNA(VLOOKUP(C252,merchants!$A$2:$D$41,3,FALSE),"Merchant not found")</f>
        <v>entertainment</v>
      </c>
      <c r="L252" t="str">
        <f>_xlfn.IFNA(VLOOKUP(C252,merchants!$A$2:$D$41,4,FALSE),"Merchant not found")</f>
        <v>North</v>
      </c>
      <c r="M252" s="2">
        <f>HLOOKUP(G252,Fees!$B$1:$E$2,2,FALSE)</f>
        <v>1.4999999999999999E-2</v>
      </c>
      <c r="N252" t="str">
        <f>IF(AND(K252&lt;&gt;"East",GETPIVOTDATA("amount_inr",'Daily Totals'!$A$4,"merchant_name",J252,"Days (transaction_time)",TEXT(D252,"dd-mmm"))&gt;5000),"High-Value Merchant Day", "Normal")</f>
        <v>High-Value Merchant Day</v>
      </c>
    </row>
    <row r="253" spans="1:14" x14ac:dyDescent="0.3">
      <c r="A253" t="s">
        <v>266</v>
      </c>
      <c r="B253">
        <v>340</v>
      </c>
      <c r="C253">
        <v>10</v>
      </c>
      <c r="D253" s="1">
        <v>46033.109027777777</v>
      </c>
      <c r="E253" s="8">
        <f t="shared" si="3"/>
        <v>46033</v>
      </c>
      <c r="F253">
        <v>49</v>
      </c>
      <c r="G253" t="s">
        <v>24</v>
      </c>
      <c r="H253" t="s">
        <v>10</v>
      </c>
      <c r="I253">
        <v>44</v>
      </c>
      <c r="J253" t="str">
        <f>_xlfn.IFNA(VLOOKUP(C253,merchants!$A$2:$D$41,2,FALSE),"Merchant not found")</f>
        <v>Merchant_010</v>
      </c>
      <c r="K253" t="str">
        <f>_xlfn.IFNA(VLOOKUP(C253,merchants!$A$2:$D$41,3,FALSE),"Merchant not found")</f>
        <v>grocery</v>
      </c>
      <c r="L253" t="str">
        <f>_xlfn.IFNA(VLOOKUP(C253,merchants!$A$2:$D$41,4,FALSE),"Merchant not found")</f>
        <v>West</v>
      </c>
      <c r="M253" s="2">
        <f>HLOOKUP(G253,Fees!$B$1:$E$2,2,FALSE)</f>
        <v>0.02</v>
      </c>
      <c r="N253" t="str">
        <f>IF(AND(K253&lt;&gt;"East",GETPIVOTDATA("amount_inr",'Daily Totals'!$A$4,"merchant_name",J253,"Days (transaction_time)",TEXT(D253,"dd-mmm"))&gt;5000),"High-Value Merchant Day", "Normal")</f>
        <v>Normal</v>
      </c>
    </row>
    <row r="254" spans="1:14" x14ac:dyDescent="0.3">
      <c r="A254" t="s">
        <v>267</v>
      </c>
      <c r="B254">
        <v>340</v>
      </c>
      <c r="C254">
        <v>26</v>
      </c>
      <c r="D254" s="1">
        <v>46032.863888888889</v>
      </c>
      <c r="E254" s="8">
        <f t="shared" si="3"/>
        <v>46032</v>
      </c>
      <c r="F254">
        <v>299</v>
      </c>
      <c r="G254" t="s">
        <v>24</v>
      </c>
      <c r="H254" t="s">
        <v>10</v>
      </c>
      <c r="I254">
        <v>16</v>
      </c>
      <c r="J254" t="str">
        <f>_xlfn.IFNA(VLOOKUP(C254,merchants!$A$2:$D$41,2,FALSE),"Merchant not found")</f>
        <v>Merchant_026</v>
      </c>
      <c r="K254" t="str">
        <f>_xlfn.IFNA(VLOOKUP(C254,merchants!$A$2:$D$41,3,FALSE),"Merchant not found")</f>
        <v>food_delivery</v>
      </c>
      <c r="L254" t="str">
        <f>_xlfn.IFNA(VLOOKUP(C254,merchants!$A$2:$D$41,4,FALSE),"Merchant not found")</f>
        <v>East</v>
      </c>
      <c r="M254" s="2">
        <f>HLOOKUP(G254,Fees!$B$1:$E$2,2,FALSE)</f>
        <v>0.02</v>
      </c>
      <c r="N254" t="str">
        <f>IF(AND(K254&lt;&gt;"East",GETPIVOTDATA("amount_inr",'Daily Totals'!$A$4,"merchant_name",J254,"Days (transaction_time)",TEXT(D254,"dd-mmm"))&gt;5000),"High-Value Merchant Day", "Normal")</f>
        <v>Normal</v>
      </c>
    </row>
    <row r="255" spans="1:14" x14ac:dyDescent="0.3">
      <c r="A255" t="s">
        <v>268</v>
      </c>
      <c r="B255">
        <v>159</v>
      </c>
      <c r="C255">
        <v>36</v>
      </c>
      <c r="D255" s="1">
        <v>46042.920138888891</v>
      </c>
      <c r="E255" s="8">
        <f t="shared" si="3"/>
        <v>46042</v>
      </c>
      <c r="F255">
        <v>49</v>
      </c>
      <c r="G255" t="s">
        <v>12</v>
      </c>
      <c r="H255" t="s">
        <v>10</v>
      </c>
      <c r="I255">
        <v>48</v>
      </c>
      <c r="J255" t="str">
        <f>_xlfn.IFNA(VLOOKUP(C255,merchants!$A$2:$D$41,2,FALSE),"Merchant not found")</f>
        <v>Merchant_036</v>
      </c>
      <c r="K255" t="str">
        <f>_xlfn.IFNA(VLOOKUP(C255,merchants!$A$2:$D$41,3,FALSE),"Merchant not found")</f>
        <v>entertainment</v>
      </c>
      <c r="L255" t="str">
        <f>_xlfn.IFNA(VLOOKUP(C255,merchants!$A$2:$D$41,4,FALSE),"Merchant not found")</f>
        <v>East</v>
      </c>
      <c r="M255" s="2">
        <f>HLOOKUP(G255,Fees!$B$1:$E$2,2,FALSE)</f>
        <v>0</v>
      </c>
      <c r="N255" t="str">
        <f>IF(AND(K255&lt;&gt;"East",GETPIVOTDATA("amount_inr",'Daily Totals'!$A$4,"merchant_name",J255,"Days (transaction_time)",TEXT(D255,"dd-mmm"))&gt;5000),"High-Value Merchant Day", "Normal")</f>
        <v>Normal</v>
      </c>
    </row>
    <row r="256" spans="1:14" x14ac:dyDescent="0.3">
      <c r="A256" t="s">
        <v>269</v>
      </c>
      <c r="B256">
        <v>66</v>
      </c>
      <c r="C256">
        <v>34</v>
      </c>
      <c r="D256" s="1">
        <v>46043.452777777777</v>
      </c>
      <c r="E256" s="8">
        <f t="shared" si="3"/>
        <v>46043</v>
      </c>
      <c r="F256">
        <v>799</v>
      </c>
      <c r="G256" t="s">
        <v>12</v>
      </c>
      <c r="H256" t="s">
        <v>10</v>
      </c>
      <c r="I256">
        <v>11</v>
      </c>
      <c r="J256" t="str">
        <f>_xlfn.IFNA(VLOOKUP(C256,merchants!$A$2:$D$41,2,FALSE),"Merchant not found")</f>
        <v>Merchant_034</v>
      </c>
      <c r="K256" t="str">
        <f>_xlfn.IFNA(VLOOKUP(C256,merchants!$A$2:$D$41,3,FALSE),"Merchant not found")</f>
        <v>travel</v>
      </c>
      <c r="L256" t="str">
        <f>_xlfn.IFNA(VLOOKUP(C256,merchants!$A$2:$D$41,4,FALSE),"Merchant not found")</f>
        <v>South</v>
      </c>
      <c r="M256" s="2">
        <f>HLOOKUP(G256,Fees!$B$1:$E$2,2,FALSE)</f>
        <v>0</v>
      </c>
      <c r="N256" t="str">
        <f>IF(AND(K256&lt;&gt;"East",GETPIVOTDATA("amount_inr",'Daily Totals'!$A$4,"merchant_name",J256,"Days (transaction_time)",TEXT(D256,"dd-mmm"))&gt;5000),"High-Value Merchant Day", "Normal")</f>
        <v>Normal</v>
      </c>
    </row>
    <row r="257" spans="1:14" x14ac:dyDescent="0.3">
      <c r="A257" t="s">
        <v>270</v>
      </c>
      <c r="B257">
        <v>261</v>
      </c>
      <c r="C257">
        <v>24</v>
      </c>
      <c r="D257" s="1">
        <v>46043.893750000003</v>
      </c>
      <c r="E257" s="8">
        <f t="shared" si="3"/>
        <v>46043</v>
      </c>
      <c r="F257">
        <v>799</v>
      </c>
      <c r="G257" t="s">
        <v>24</v>
      </c>
      <c r="H257" t="s">
        <v>10</v>
      </c>
      <c r="I257">
        <v>2</v>
      </c>
      <c r="J257" t="str">
        <f>_xlfn.IFNA(VLOOKUP(C257,merchants!$A$2:$D$41,2,FALSE),"Merchant not found")</f>
        <v>Merchant_024</v>
      </c>
      <c r="K257" t="str">
        <f>_xlfn.IFNA(VLOOKUP(C257,merchants!$A$2:$D$41,3,FALSE),"Merchant not found")</f>
        <v>grocery</v>
      </c>
      <c r="L257" t="str">
        <f>_xlfn.IFNA(VLOOKUP(C257,merchants!$A$2:$D$41,4,FALSE),"Merchant not found")</f>
        <v>North</v>
      </c>
      <c r="M257" s="2">
        <f>HLOOKUP(G257,Fees!$B$1:$E$2,2,FALSE)</f>
        <v>0.02</v>
      </c>
      <c r="N257" t="str">
        <f>IF(AND(K257&lt;&gt;"East",GETPIVOTDATA("amount_inr",'Daily Totals'!$A$4,"merchant_name",J257,"Days (transaction_time)",TEXT(D257,"dd-mmm"))&gt;5000),"High-Value Merchant Day", "Normal")</f>
        <v>Normal</v>
      </c>
    </row>
    <row r="258" spans="1:14" x14ac:dyDescent="0.3">
      <c r="A258" t="s">
        <v>271</v>
      </c>
      <c r="B258">
        <v>110</v>
      </c>
      <c r="C258">
        <v>22</v>
      </c>
      <c r="D258" s="1">
        <v>46034.382638888892</v>
      </c>
      <c r="E258" s="8">
        <f t="shared" si="3"/>
        <v>46034</v>
      </c>
      <c r="F258">
        <v>799</v>
      </c>
      <c r="G258" t="s">
        <v>12</v>
      </c>
      <c r="H258" t="s">
        <v>10</v>
      </c>
      <c r="I258">
        <v>98</v>
      </c>
      <c r="J258" t="str">
        <f>_xlfn.IFNA(VLOOKUP(C258,merchants!$A$2:$D$41,2,FALSE),"Merchant not found")</f>
        <v>Merchant_022</v>
      </c>
      <c r="K258" t="str">
        <f>_xlfn.IFNA(VLOOKUP(C258,merchants!$A$2:$D$41,3,FALSE),"Merchant not found")</f>
        <v>travel</v>
      </c>
      <c r="L258" t="str">
        <f>_xlfn.IFNA(VLOOKUP(C258,merchants!$A$2:$D$41,4,FALSE),"Merchant not found")</f>
        <v>South</v>
      </c>
      <c r="M258" s="2">
        <f>HLOOKUP(G258,Fees!$B$1:$E$2,2,FALSE)</f>
        <v>0</v>
      </c>
      <c r="N258" t="str">
        <f>IF(AND(K258&lt;&gt;"East",GETPIVOTDATA("amount_inr",'Daily Totals'!$A$4,"merchant_name",J258,"Days (transaction_time)",TEXT(D258,"dd-mmm"))&gt;5000),"High-Value Merchant Day", "Normal")</f>
        <v>Normal</v>
      </c>
    </row>
    <row r="259" spans="1:14" x14ac:dyDescent="0.3">
      <c r="A259" t="s">
        <v>272</v>
      </c>
      <c r="B259">
        <v>71</v>
      </c>
      <c r="C259">
        <v>10</v>
      </c>
      <c r="D259" s="1">
        <v>46038.259722222225</v>
      </c>
      <c r="E259" s="8">
        <f t="shared" ref="E259:E322" si="4">INT(D259)</f>
        <v>46038</v>
      </c>
      <c r="F259">
        <v>49</v>
      </c>
      <c r="G259" t="s">
        <v>12</v>
      </c>
      <c r="H259" t="s">
        <v>10</v>
      </c>
      <c r="I259">
        <v>9</v>
      </c>
      <c r="J259" t="str">
        <f>_xlfn.IFNA(VLOOKUP(C259,merchants!$A$2:$D$41,2,FALSE),"Merchant not found")</f>
        <v>Merchant_010</v>
      </c>
      <c r="K259" t="str">
        <f>_xlfn.IFNA(VLOOKUP(C259,merchants!$A$2:$D$41,3,FALSE),"Merchant not found")</f>
        <v>grocery</v>
      </c>
      <c r="L259" t="str">
        <f>_xlfn.IFNA(VLOOKUP(C259,merchants!$A$2:$D$41,4,FALSE),"Merchant not found")</f>
        <v>West</v>
      </c>
      <c r="M259" s="2">
        <f>HLOOKUP(G259,Fees!$B$1:$E$2,2,FALSE)</f>
        <v>0</v>
      </c>
      <c r="N259" t="str">
        <f>IF(AND(K259&lt;&gt;"East",GETPIVOTDATA("amount_inr",'Daily Totals'!$A$4,"merchant_name",J259,"Days (transaction_time)",TEXT(D259,"dd-mmm"))&gt;5000),"High-Value Merchant Day", "Normal")</f>
        <v>Normal</v>
      </c>
    </row>
    <row r="260" spans="1:14" x14ac:dyDescent="0.3">
      <c r="A260" t="s">
        <v>273</v>
      </c>
      <c r="B260">
        <v>277</v>
      </c>
      <c r="C260">
        <v>34</v>
      </c>
      <c r="D260" s="1">
        <v>46032.147222222222</v>
      </c>
      <c r="E260" s="8">
        <f t="shared" si="4"/>
        <v>46032</v>
      </c>
      <c r="F260">
        <v>49</v>
      </c>
      <c r="G260" t="s">
        <v>12</v>
      </c>
      <c r="H260" t="s">
        <v>10</v>
      </c>
      <c r="I260">
        <v>4</v>
      </c>
      <c r="J260" t="str">
        <f>_xlfn.IFNA(VLOOKUP(C260,merchants!$A$2:$D$41,2,FALSE),"Merchant not found")</f>
        <v>Merchant_034</v>
      </c>
      <c r="K260" t="str">
        <f>_xlfn.IFNA(VLOOKUP(C260,merchants!$A$2:$D$41,3,FALSE),"Merchant not found")</f>
        <v>travel</v>
      </c>
      <c r="L260" t="str">
        <f>_xlfn.IFNA(VLOOKUP(C260,merchants!$A$2:$D$41,4,FALSE),"Merchant not found")</f>
        <v>South</v>
      </c>
      <c r="M260" s="2">
        <f>HLOOKUP(G260,Fees!$B$1:$E$2,2,FALSE)</f>
        <v>0</v>
      </c>
      <c r="N260" t="str">
        <f>IF(AND(K260&lt;&gt;"East",GETPIVOTDATA("amount_inr",'Daily Totals'!$A$4,"merchant_name",J260,"Days (transaction_time)",TEXT(D260,"dd-mmm"))&gt;5000),"High-Value Merchant Day", "Normal")</f>
        <v>Normal</v>
      </c>
    </row>
    <row r="261" spans="1:14" x14ac:dyDescent="0.3">
      <c r="A261" t="s">
        <v>274</v>
      </c>
      <c r="B261">
        <v>317</v>
      </c>
      <c r="C261">
        <v>9</v>
      </c>
      <c r="D261" s="1">
        <v>46044.455555555556</v>
      </c>
      <c r="E261" s="8">
        <f t="shared" si="4"/>
        <v>46044</v>
      </c>
      <c r="F261">
        <v>499</v>
      </c>
      <c r="G261" t="s">
        <v>9</v>
      </c>
      <c r="H261" t="s">
        <v>10</v>
      </c>
      <c r="I261">
        <v>76</v>
      </c>
      <c r="J261" t="str">
        <f>_xlfn.IFNA(VLOOKUP(C261,merchants!$A$2:$D$41,2,FALSE),"Merchant not found")</f>
        <v>Merchant_009</v>
      </c>
      <c r="K261" t="str">
        <f>_xlfn.IFNA(VLOOKUP(C261,merchants!$A$2:$D$41,3,FALSE),"Merchant not found")</f>
        <v>ecommerce</v>
      </c>
      <c r="L261" t="str">
        <f>_xlfn.IFNA(VLOOKUP(C261,merchants!$A$2:$D$41,4,FALSE),"Merchant not found")</f>
        <v>North</v>
      </c>
      <c r="M261" s="2">
        <f>HLOOKUP(G261,Fees!$B$1:$E$2,2,FALSE)</f>
        <v>1.4999999999999999E-2</v>
      </c>
      <c r="N261" t="str">
        <f>IF(AND(K261&lt;&gt;"East",GETPIVOTDATA("amount_inr",'Daily Totals'!$A$4,"merchant_name",J261,"Days (transaction_time)",TEXT(D261,"dd-mmm"))&gt;5000),"High-Value Merchant Day", "Normal")</f>
        <v>Normal</v>
      </c>
    </row>
    <row r="262" spans="1:14" x14ac:dyDescent="0.3">
      <c r="A262" t="s">
        <v>275</v>
      </c>
      <c r="B262">
        <v>93</v>
      </c>
      <c r="C262">
        <v>40</v>
      </c>
      <c r="D262" s="1">
        <v>46035.173611111109</v>
      </c>
      <c r="E262" s="8">
        <f t="shared" si="4"/>
        <v>46035</v>
      </c>
      <c r="F262">
        <v>299</v>
      </c>
      <c r="G262" t="s">
        <v>12</v>
      </c>
      <c r="H262" t="s">
        <v>10</v>
      </c>
      <c r="I262">
        <v>21</v>
      </c>
      <c r="J262" t="str">
        <f>_xlfn.IFNA(VLOOKUP(C262,merchants!$A$2:$D$41,2,FALSE),"Merchant not found")</f>
        <v>Merchant_040</v>
      </c>
      <c r="K262" t="str">
        <f>_xlfn.IFNA(VLOOKUP(C262,merchants!$A$2:$D$41,3,FALSE),"Merchant not found")</f>
        <v>entertainment</v>
      </c>
      <c r="L262" t="str">
        <f>_xlfn.IFNA(VLOOKUP(C262,merchants!$A$2:$D$41,4,FALSE),"Merchant not found")</f>
        <v>South</v>
      </c>
      <c r="M262" s="2">
        <f>HLOOKUP(G262,Fees!$B$1:$E$2,2,FALSE)</f>
        <v>0</v>
      </c>
      <c r="N262" t="str">
        <f>IF(AND(K262&lt;&gt;"East",GETPIVOTDATA("amount_inr",'Daily Totals'!$A$4,"merchant_name",J262,"Days (transaction_time)",TEXT(D262,"dd-mmm"))&gt;5000),"High-Value Merchant Day", "Normal")</f>
        <v>Normal</v>
      </c>
    </row>
    <row r="263" spans="1:14" x14ac:dyDescent="0.3">
      <c r="A263" t="s">
        <v>276</v>
      </c>
      <c r="B263">
        <v>211</v>
      </c>
      <c r="C263">
        <v>24</v>
      </c>
      <c r="D263" s="1">
        <v>46046.584722222222</v>
      </c>
      <c r="E263" s="8">
        <f t="shared" si="4"/>
        <v>46046</v>
      </c>
      <c r="F263">
        <v>99</v>
      </c>
      <c r="G263" t="s">
        <v>15</v>
      </c>
      <c r="H263" t="s">
        <v>10</v>
      </c>
      <c r="I263">
        <v>86</v>
      </c>
      <c r="J263" t="str">
        <f>_xlfn.IFNA(VLOOKUP(C263,merchants!$A$2:$D$41,2,FALSE),"Merchant not found")</f>
        <v>Merchant_024</v>
      </c>
      <c r="K263" t="str">
        <f>_xlfn.IFNA(VLOOKUP(C263,merchants!$A$2:$D$41,3,FALSE),"Merchant not found")</f>
        <v>grocery</v>
      </c>
      <c r="L263" t="str">
        <f>_xlfn.IFNA(VLOOKUP(C263,merchants!$A$2:$D$41,4,FALSE),"Merchant not found")</f>
        <v>North</v>
      </c>
      <c r="M263" s="2">
        <f>HLOOKUP(G263,Fees!$B$1:$E$2,2,FALSE)</f>
        <v>0.01</v>
      </c>
      <c r="N263" t="str">
        <f>IF(AND(K263&lt;&gt;"East",GETPIVOTDATA("amount_inr",'Daily Totals'!$A$4,"merchant_name",J263,"Days (transaction_time)",TEXT(D263,"dd-mmm"))&gt;5000),"High-Value Merchant Day", "Normal")</f>
        <v>Normal</v>
      </c>
    </row>
    <row r="264" spans="1:14" x14ac:dyDescent="0.3">
      <c r="A264" t="s">
        <v>277</v>
      </c>
      <c r="B264">
        <v>313</v>
      </c>
      <c r="C264">
        <v>19</v>
      </c>
      <c r="D264" s="1">
        <v>46046.311111111114</v>
      </c>
      <c r="E264" s="8">
        <f t="shared" si="4"/>
        <v>46046</v>
      </c>
      <c r="F264">
        <v>149</v>
      </c>
      <c r="G264" t="s">
        <v>12</v>
      </c>
      <c r="H264" t="s">
        <v>10</v>
      </c>
      <c r="I264">
        <v>96</v>
      </c>
      <c r="J264" t="str">
        <f>_xlfn.IFNA(VLOOKUP(C264,merchants!$A$2:$D$41,2,FALSE),"Merchant not found")</f>
        <v>Merchant_019</v>
      </c>
      <c r="K264" t="str">
        <f>_xlfn.IFNA(VLOOKUP(C264,merchants!$A$2:$D$41,3,FALSE),"Merchant not found")</f>
        <v>grocery</v>
      </c>
      <c r="L264" t="str">
        <f>_xlfn.IFNA(VLOOKUP(C264,merchants!$A$2:$D$41,4,FALSE),"Merchant not found")</f>
        <v>North</v>
      </c>
      <c r="M264" s="2">
        <f>HLOOKUP(G264,Fees!$B$1:$E$2,2,FALSE)</f>
        <v>0</v>
      </c>
      <c r="N264" t="str">
        <f>IF(AND(K264&lt;&gt;"East",GETPIVOTDATA("amount_inr",'Daily Totals'!$A$4,"merchant_name",J264,"Days (transaction_time)",TEXT(D264,"dd-mmm"))&gt;5000),"High-Value Merchant Day", "Normal")</f>
        <v>Normal</v>
      </c>
    </row>
    <row r="265" spans="1:14" x14ac:dyDescent="0.3">
      <c r="A265" t="s">
        <v>278</v>
      </c>
      <c r="B265">
        <v>274</v>
      </c>
      <c r="C265">
        <v>16</v>
      </c>
      <c r="D265" s="1">
        <v>46046.593055555553</v>
      </c>
      <c r="E265" s="8">
        <f t="shared" si="4"/>
        <v>46046</v>
      </c>
      <c r="F265">
        <v>49</v>
      </c>
      <c r="G265" t="s">
        <v>9</v>
      </c>
      <c r="H265" t="s">
        <v>25</v>
      </c>
      <c r="I265">
        <v>39</v>
      </c>
      <c r="J265" t="str">
        <f>_xlfn.IFNA(VLOOKUP(C265,merchants!$A$2:$D$41,2,FALSE),"Merchant not found")</f>
        <v>Merchant_016</v>
      </c>
      <c r="K265" t="str">
        <f>_xlfn.IFNA(VLOOKUP(C265,merchants!$A$2:$D$41,3,FALSE),"Merchant not found")</f>
        <v>bill_payment</v>
      </c>
      <c r="L265" t="str">
        <f>_xlfn.IFNA(VLOOKUP(C265,merchants!$A$2:$D$41,4,FALSE),"Merchant not found")</f>
        <v>West</v>
      </c>
      <c r="M265" s="2">
        <f>HLOOKUP(G265,Fees!$B$1:$E$2,2,FALSE)</f>
        <v>1.4999999999999999E-2</v>
      </c>
      <c r="N265" t="str">
        <f>IF(AND(K265&lt;&gt;"East",GETPIVOTDATA("amount_inr",'Daily Totals'!$A$4,"merchant_name",J265,"Days (transaction_time)",TEXT(D265,"dd-mmm"))&gt;5000),"High-Value Merchant Day", "Normal")</f>
        <v>Normal</v>
      </c>
    </row>
    <row r="266" spans="1:14" x14ac:dyDescent="0.3">
      <c r="A266" t="s">
        <v>279</v>
      </c>
      <c r="B266">
        <v>100</v>
      </c>
      <c r="C266">
        <v>24</v>
      </c>
      <c r="D266" s="1">
        <v>46048.664583333331</v>
      </c>
      <c r="E266" s="8">
        <f t="shared" si="4"/>
        <v>46048</v>
      </c>
      <c r="F266">
        <v>299</v>
      </c>
      <c r="G266" t="s">
        <v>12</v>
      </c>
      <c r="H266" t="s">
        <v>10</v>
      </c>
      <c r="I266">
        <v>86</v>
      </c>
      <c r="J266" t="str">
        <f>_xlfn.IFNA(VLOOKUP(C266,merchants!$A$2:$D$41,2,FALSE),"Merchant not found")</f>
        <v>Merchant_024</v>
      </c>
      <c r="K266" t="str">
        <f>_xlfn.IFNA(VLOOKUP(C266,merchants!$A$2:$D$41,3,FALSE),"Merchant not found")</f>
        <v>grocery</v>
      </c>
      <c r="L266" t="str">
        <f>_xlfn.IFNA(VLOOKUP(C266,merchants!$A$2:$D$41,4,FALSE),"Merchant not found")</f>
        <v>North</v>
      </c>
      <c r="M266" s="2">
        <f>HLOOKUP(G266,Fees!$B$1:$E$2,2,FALSE)</f>
        <v>0</v>
      </c>
      <c r="N266" t="str">
        <f>IF(AND(K266&lt;&gt;"East",GETPIVOTDATA("amount_inr",'Daily Totals'!$A$4,"merchant_name",J266,"Days (transaction_time)",TEXT(D266,"dd-mmm"))&gt;5000),"High-Value Merchant Day", "Normal")</f>
        <v>Normal</v>
      </c>
    </row>
    <row r="267" spans="1:14" x14ac:dyDescent="0.3">
      <c r="A267" t="s">
        <v>280</v>
      </c>
      <c r="B267">
        <v>145</v>
      </c>
      <c r="C267">
        <v>25</v>
      </c>
      <c r="D267" s="1">
        <v>46041.603472222225</v>
      </c>
      <c r="E267" s="8">
        <f t="shared" si="4"/>
        <v>46041</v>
      </c>
      <c r="F267">
        <v>2999</v>
      </c>
      <c r="G267" t="s">
        <v>9</v>
      </c>
      <c r="H267" t="s">
        <v>10</v>
      </c>
      <c r="I267">
        <v>64</v>
      </c>
      <c r="J267" t="str">
        <f>_xlfn.IFNA(VLOOKUP(C267,merchants!$A$2:$D$41,2,FALSE),"Merchant not found")</f>
        <v>Merchant_025</v>
      </c>
      <c r="K267" t="str">
        <f>_xlfn.IFNA(VLOOKUP(C267,merchants!$A$2:$D$41,3,FALSE),"Merchant not found")</f>
        <v>travel</v>
      </c>
      <c r="L267" t="str">
        <f>_xlfn.IFNA(VLOOKUP(C267,merchants!$A$2:$D$41,4,FALSE),"Merchant not found")</f>
        <v>South</v>
      </c>
      <c r="M267" s="2">
        <f>HLOOKUP(G267,Fees!$B$1:$E$2,2,FALSE)</f>
        <v>1.4999999999999999E-2</v>
      </c>
      <c r="N267" t="str">
        <f>IF(AND(K267&lt;&gt;"East",GETPIVOTDATA("amount_inr",'Daily Totals'!$A$4,"merchant_name",J267,"Days (transaction_time)",TEXT(D267,"dd-mmm"))&gt;5000),"High-Value Merchant Day", "Normal")</f>
        <v>Normal</v>
      </c>
    </row>
    <row r="268" spans="1:14" x14ac:dyDescent="0.3">
      <c r="A268" t="s">
        <v>281</v>
      </c>
      <c r="B268">
        <v>103</v>
      </c>
      <c r="C268">
        <v>39</v>
      </c>
      <c r="D268" s="1">
        <v>46039.548611111109</v>
      </c>
      <c r="E268" s="8">
        <f t="shared" si="4"/>
        <v>46039</v>
      </c>
      <c r="F268">
        <v>2999</v>
      </c>
      <c r="G268" t="s">
        <v>9</v>
      </c>
      <c r="H268" t="s">
        <v>10</v>
      </c>
      <c r="I268">
        <v>17</v>
      </c>
      <c r="J268" t="str">
        <f>_xlfn.IFNA(VLOOKUP(C268,merchants!$A$2:$D$41,2,FALSE),"Merchant not found")</f>
        <v>Merchant_039</v>
      </c>
      <c r="K268" t="str">
        <f>_xlfn.IFNA(VLOOKUP(C268,merchants!$A$2:$D$41,3,FALSE),"Merchant not found")</f>
        <v>entertainment</v>
      </c>
      <c r="L268" t="str">
        <f>_xlfn.IFNA(VLOOKUP(C268,merchants!$A$2:$D$41,4,FALSE),"Merchant not found")</f>
        <v>North</v>
      </c>
      <c r="M268" s="2">
        <f>HLOOKUP(G268,Fees!$B$1:$E$2,2,FALSE)</f>
        <v>1.4999999999999999E-2</v>
      </c>
      <c r="N268" t="str">
        <f>IF(AND(K268&lt;&gt;"East",GETPIVOTDATA("amount_inr",'Daily Totals'!$A$4,"merchant_name",J268,"Days (transaction_time)",TEXT(D268,"dd-mmm"))&gt;5000),"High-Value Merchant Day", "Normal")</f>
        <v>Normal</v>
      </c>
    </row>
    <row r="269" spans="1:14" x14ac:dyDescent="0.3">
      <c r="A269" t="s">
        <v>282</v>
      </c>
      <c r="B269">
        <v>329</v>
      </c>
      <c r="C269">
        <v>31</v>
      </c>
      <c r="D269" s="1">
        <v>46050.335416666669</v>
      </c>
      <c r="E269" s="8">
        <f t="shared" si="4"/>
        <v>46050</v>
      </c>
      <c r="F269">
        <v>299</v>
      </c>
      <c r="G269" t="s">
        <v>9</v>
      </c>
      <c r="H269" t="s">
        <v>10</v>
      </c>
      <c r="I269">
        <v>47</v>
      </c>
      <c r="J269" t="str">
        <f>_xlfn.IFNA(VLOOKUP(C269,merchants!$A$2:$D$41,2,FALSE),"Merchant not found")</f>
        <v>Merchant_031</v>
      </c>
      <c r="K269" t="str">
        <f>_xlfn.IFNA(VLOOKUP(C269,merchants!$A$2:$D$41,3,FALSE),"Merchant not found")</f>
        <v>bill_payment</v>
      </c>
      <c r="L269" t="str">
        <f>_xlfn.IFNA(VLOOKUP(C269,merchants!$A$2:$D$41,4,FALSE),"Merchant not found")</f>
        <v>East</v>
      </c>
      <c r="M269" s="2">
        <f>HLOOKUP(G269,Fees!$B$1:$E$2,2,FALSE)</f>
        <v>1.4999999999999999E-2</v>
      </c>
      <c r="N269" t="str">
        <f>IF(AND(K269&lt;&gt;"East",GETPIVOTDATA("amount_inr",'Daily Totals'!$A$4,"merchant_name",J269,"Days (transaction_time)",TEXT(D269,"dd-mmm"))&gt;5000),"High-Value Merchant Day", "Normal")</f>
        <v>Normal</v>
      </c>
    </row>
    <row r="270" spans="1:14" x14ac:dyDescent="0.3">
      <c r="A270" t="s">
        <v>283</v>
      </c>
      <c r="B270">
        <v>265</v>
      </c>
      <c r="C270">
        <v>8</v>
      </c>
      <c r="D270" s="1">
        <v>46040.15625</v>
      </c>
      <c r="E270" s="8">
        <f t="shared" si="4"/>
        <v>46040</v>
      </c>
      <c r="F270">
        <v>499</v>
      </c>
      <c r="G270" t="s">
        <v>15</v>
      </c>
      <c r="H270" t="s">
        <v>10</v>
      </c>
      <c r="I270">
        <v>36</v>
      </c>
      <c r="J270" t="str">
        <f>_xlfn.IFNA(VLOOKUP(C270,merchants!$A$2:$D$41,2,FALSE),"Merchant not found")</f>
        <v>Merchant_008</v>
      </c>
      <c r="K270" t="str">
        <f>_xlfn.IFNA(VLOOKUP(C270,merchants!$A$2:$D$41,3,FALSE),"Merchant not found")</f>
        <v>food_delivery</v>
      </c>
      <c r="L270" t="str">
        <f>_xlfn.IFNA(VLOOKUP(C270,merchants!$A$2:$D$41,4,FALSE),"Merchant not found")</f>
        <v>North</v>
      </c>
      <c r="M270" s="2">
        <f>HLOOKUP(G270,Fees!$B$1:$E$2,2,FALSE)</f>
        <v>0.01</v>
      </c>
      <c r="N270" t="str">
        <f>IF(AND(K270&lt;&gt;"East",GETPIVOTDATA("amount_inr",'Daily Totals'!$A$4,"merchant_name",J270,"Days (transaction_time)",TEXT(D270,"dd-mmm"))&gt;5000),"High-Value Merchant Day", "Normal")</f>
        <v>Normal</v>
      </c>
    </row>
    <row r="271" spans="1:14" x14ac:dyDescent="0.3">
      <c r="A271" t="s">
        <v>284</v>
      </c>
      <c r="B271">
        <v>231</v>
      </c>
      <c r="C271">
        <v>33</v>
      </c>
      <c r="D271" s="1">
        <v>46025.220138888886</v>
      </c>
      <c r="E271" s="8">
        <f t="shared" si="4"/>
        <v>46025</v>
      </c>
      <c r="F271">
        <v>149</v>
      </c>
      <c r="G271" t="s">
        <v>12</v>
      </c>
      <c r="H271" t="s">
        <v>25</v>
      </c>
      <c r="I271">
        <v>18</v>
      </c>
      <c r="J271" t="str">
        <f>_xlfn.IFNA(VLOOKUP(C271,merchants!$A$2:$D$41,2,FALSE),"Merchant not found")</f>
        <v>Merchant_033</v>
      </c>
      <c r="K271" t="str">
        <f>_xlfn.IFNA(VLOOKUP(C271,merchants!$A$2:$D$41,3,FALSE),"Merchant not found")</f>
        <v>bill_payment</v>
      </c>
      <c r="L271" t="str">
        <f>_xlfn.IFNA(VLOOKUP(C271,merchants!$A$2:$D$41,4,FALSE),"Merchant not found")</f>
        <v>East</v>
      </c>
      <c r="M271" s="2">
        <f>HLOOKUP(G271,Fees!$B$1:$E$2,2,FALSE)</f>
        <v>0</v>
      </c>
      <c r="N271" t="str">
        <f>IF(AND(K271&lt;&gt;"East",GETPIVOTDATA("amount_inr",'Daily Totals'!$A$4,"merchant_name",J271,"Days (transaction_time)",TEXT(D271,"dd-mmm"))&gt;5000),"High-Value Merchant Day", "Normal")</f>
        <v>Normal</v>
      </c>
    </row>
    <row r="272" spans="1:14" x14ac:dyDescent="0.3">
      <c r="A272" t="s">
        <v>285</v>
      </c>
      <c r="B272">
        <v>114</v>
      </c>
      <c r="C272">
        <v>29</v>
      </c>
      <c r="D272" s="1">
        <v>46049.545138888891</v>
      </c>
      <c r="E272" s="8">
        <f t="shared" si="4"/>
        <v>46049</v>
      </c>
      <c r="F272">
        <v>799</v>
      </c>
      <c r="G272" t="s">
        <v>12</v>
      </c>
      <c r="H272" t="s">
        <v>38</v>
      </c>
      <c r="I272">
        <v>44</v>
      </c>
      <c r="J272" t="str">
        <f>_xlfn.IFNA(VLOOKUP(C272,merchants!$A$2:$D$41,2,FALSE),"Merchant not found")</f>
        <v>Merchant_029</v>
      </c>
      <c r="K272" t="str">
        <f>_xlfn.IFNA(VLOOKUP(C272,merchants!$A$2:$D$41,3,FALSE),"Merchant not found")</f>
        <v>ecommerce</v>
      </c>
      <c r="L272" t="str">
        <f>_xlfn.IFNA(VLOOKUP(C272,merchants!$A$2:$D$41,4,FALSE),"Merchant not found")</f>
        <v>North</v>
      </c>
      <c r="M272" s="2">
        <f>HLOOKUP(G272,Fees!$B$1:$E$2,2,FALSE)</f>
        <v>0</v>
      </c>
      <c r="N272" t="str">
        <f>IF(AND(K272&lt;&gt;"East",GETPIVOTDATA("amount_inr",'Daily Totals'!$A$4,"merchant_name",J272,"Days (transaction_time)",TEXT(D272,"dd-mmm"))&gt;5000),"High-Value Merchant Day", "Normal")</f>
        <v>Normal</v>
      </c>
    </row>
    <row r="273" spans="1:14" x14ac:dyDescent="0.3">
      <c r="A273" t="s">
        <v>286</v>
      </c>
      <c r="B273">
        <v>28</v>
      </c>
      <c r="C273">
        <v>26</v>
      </c>
      <c r="D273" s="1">
        <v>46052.018055555556</v>
      </c>
      <c r="E273" s="8">
        <f t="shared" si="4"/>
        <v>46052</v>
      </c>
      <c r="F273">
        <v>1499</v>
      </c>
      <c r="G273" t="s">
        <v>12</v>
      </c>
      <c r="H273" t="s">
        <v>25</v>
      </c>
      <c r="I273">
        <v>64</v>
      </c>
      <c r="J273" t="str">
        <f>_xlfn.IFNA(VLOOKUP(C273,merchants!$A$2:$D$41,2,FALSE),"Merchant not found")</f>
        <v>Merchant_026</v>
      </c>
      <c r="K273" t="str">
        <f>_xlfn.IFNA(VLOOKUP(C273,merchants!$A$2:$D$41,3,FALSE),"Merchant not found")</f>
        <v>food_delivery</v>
      </c>
      <c r="L273" t="str">
        <f>_xlfn.IFNA(VLOOKUP(C273,merchants!$A$2:$D$41,4,FALSE),"Merchant not found")</f>
        <v>East</v>
      </c>
      <c r="M273" s="2">
        <f>HLOOKUP(G273,Fees!$B$1:$E$2,2,FALSE)</f>
        <v>0</v>
      </c>
      <c r="N273" t="str">
        <f>IF(AND(K273&lt;&gt;"East",GETPIVOTDATA("amount_inr",'Daily Totals'!$A$4,"merchant_name",J273,"Days (transaction_time)",TEXT(D273,"dd-mmm"))&gt;5000),"High-Value Merchant Day", "Normal")</f>
        <v>Normal</v>
      </c>
    </row>
    <row r="274" spans="1:14" x14ac:dyDescent="0.3">
      <c r="A274" t="s">
        <v>287</v>
      </c>
      <c r="B274">
        <v>42</v>
      </c>
      <c r="C274">
        <v>24</v>
      </c>
      <c r="D274" s="1">
        <v>46034.308333333334</v>
      </c>
      <c r="E274" s="8">
        <f t="shared" si="4"/>
        <v>46034</v>
      </c>
      <c r="F274">
        <v>149</v>
      </c>
      <c r="G274" t="s">
        <v>12</v>
      </c>
      <c r="H274" t="s">
        <v>10</v>
      </c>
      <c r="I274">
        <v>28</v>
      </c>
      <c r="J274" t="str">
        <f>_xlfn.IFNA(VLOOKUP(C274,merchants!$A$2:$D$41,2,FALSE),"Merchant not found")</f>
        <v>Merchant_024</v>
      </c>
      <c r="K274" t="str">
        <f>_xlfn.IFNA(VLOOKUP(C274,merchants!$A$2:$D$41,3,FALSE),"Merchant not found")</f>
        <v>grocery</v>
      </c>
      <c r="L274" t="str">
        <f>_xlfn.IFNA(VLOOKUP(C274,merchants!$A$2:$D$41,4,FALSE),"Merchant not found")</f>
        <v>North</v>
      </c>
      <c r="M274" s="2">
        <f>HLOOKUP(G274,Fees!$B$1:$E$2,2,FALSE)</f>
        <v>0</v>
      </c>
      <c r="N274" t="str">
        <f>IF(AND(K274&lt;&gt;"East",GETPIVOTDATA("amount_inr",'Daily Totals'!$A$4,"merchant_name",J274,"Days (transaction_time)",TEXT(D274,"dd-mmm"))&gt;5000),"High-Value Merchant Day", "Normal")</f>
        <v>Normal</v>
      </c>
    </row>
    <row r="275" spans="1:14" x14ac:dyDescent="0.3">
      <c r="A275" t="s">
        <v>288</v>
      </c>
      <c r="B275">
        <v>51</v>
      </c>
      <c r="C275">
        <v>22</v>
      </c>
      <c r="D275" s="1">
        <v>46023.457638888889</v>
      </c>
      <c r="E275" s="8">
        <f t="shared" si="4"/>
        <v>46023</v>
      </c>
      <c r="F275">
        <v>799</v>
      </c>
      <c r="G275" t="s">
        <v>12</v>
      </c>
      <c r="H275" t="s">
        <v>10</v>
      </c>
      <c r="I275">
        <v>18</v>
      </c>
      <c r="J275" t="str">
        <f>_xlfn.IFNA(VLOOKUP(C275,merchants!$A$2:$D$41,2,FALSE),"Merchant not found")</f>
        <v>Merchant_022</v>
      </c>
      <c r="K275" t="str">
        <f>_xlfn.IFNA(VLOOKUP(C275,merchants!$A$2:$D$41,3,FALSE),"Merchant not found")</f>
        <v>travel</v>
      </c>
      <c r="L275" t="str">
        <f>_xlfn.IFNA(VLOOKUP(C275,merchants!$A$2:$D$41,4,FALSE),"Merchant not found")</f>
        <v>South</v>
      </c>
      <c r="M275" s="2">
        <f>HLOOKUP(G275,Fees!$B$1:$E$2,2,FALSE)</f>
        <v>0</v>
      </c>
      <c r="N275" t="str">
        <f>IF(AND(K275&lt;&gt;"East",GETPIVOTDATA("amount_inr",'Daily Totals'!$A$4,"merchant_name",J275,"Days (transaction_time)",TEXT(D275,"dd-mmm"))&gt;5000),"High-Value Merchant Day", "Normal")</f>
        <v>Normal</v>
      </c>
    </row>
    <row r="276" spans="1:14" x14ac:dyDescent="0.3">
      <c r="A276" t="s">
        <v>289</v>
      </c>
      <c r="B276">
        <v>242</v>
      </c>
      <c r="C276">
        <v>9</v>
      </c>
      <c r="D276" s="1">
        <v>46027.054166666669</v>
      </c>
      <c r="E276" s="8">
        <f t="shared" si="4"/>
        <v>46027</v>
      </c>
      <c r="F276">
        <v>149</v>
      </c>
      <c r="G276" t="s">
        <v>12</v>
      </c>
      <c r="H276" t="s">
        <v>10</v>
      </c>
      <c r="I276">
        <v>97</v>
      </c>
      <c r="J276" t="str">
        <f>_xlfn.IFNA(VLOOKUP(C276,merchants!$A$2:$D$41,2,FALSE),"Merchant not found")</f>
        <v>Merchant_009</v>
      </c>
      <c r="K276" t="str">
        <f>_xlfn.IFNA(VLOOKUP(C276,merchants!$A$2:$D$41,3,FALSE),"Merchant not found")</f>
        <v>ecommerce</v>
      </c>
      <c r="L276" t="str">
        <f>_xlfn.IFNA(VLOOKUP(C276,merchants!$A$2:$D$41,4,FALSE),"Merchant not found")</f>
        <v>North</v>
      </c>
      <c r="M276" s="2">
        <f>HLOOKUP(G276,Fees!$B$1:$E$2,2,FALSE)</f>
        <v>0</v>
      </c>
      <c r="N276" t="str">
        <f>IF(AND(K276&lt;&gt;"East",GETPIVOTDATA("amount_inr",'Daily Totals'!$A$4,"merchant_name",J276,"Days (transaction_time)",TEXT(D276,"dd-mmm"))&gt;5000),"High-Value Merchant Day", "Normal")</f>
        <v>Normal</v>
      </c>
    </row>
    <row r="277" spans="1:14" x14ac:dyDescent="0.3">
      <c r="A277" t="s">
        <v>290</v>
      </c>
      <c r="B277">
        <v>316</v>
      </c>
      <c r="C277">
        <v>1</v>
      </c>
      <c r="D277" s="1">
        <v>46045.644444444442</v>
      </c>
      <c r="E277" s="8">
        <f t="shared" si="4"/>
        <v>46045</v>
      </c>
      <c r="F277">
        <v>149</v>
      </c>
      <c r="G277" t="s">
        <v>12</v>
      </c>
      <c r="H277" t="s">
        <v>10</v>
      </c>
      <c r="I277">
        <v>10</v>
      </c>
      <c r="J277" t="str">
        <f>_xlfn.IFNA(VLOOKUP(C277,merchants!$A$2:$D$41,2,FALSE),"Merchant not found")</f>
        <v>Merchant_001</v>
      </c>
      <c r="K277" t="str">
        <f>_xlfn.IFNA(VLOOKUP(C277,merchants!$A$2:$D$41,3,FALSE),"Merchant not found")</f>
        <v>ecommerce</v>
      </c>
      <c r="L277" t="str">
        <f>_xlfn.IFNA(VLOOKUP(C277,merchants!$A$2:$D$41,4,FALSE),"Merchant not found")</f>
        <v>South</v>
      </c>
      <c r="M277" s="2">
        <f>HLOOKUP(G277,Fees!$B$1:$E$2,2,FALSE)</f>
        <v>0</v>
      </c>
      <c r="N277" t="str">
        <f>IF(AND(K277&lt;&gt;"East",GETPIVOTDATA("amount_inr",'Daily Totals'!$A$4,"merchant_name",J277,"Days (transaction_time)",TEXT(D277,"dd-mmm"))&gt;5000),"High-Value Merchant Day", "Normal")</f>
        <v>Normal</v>
      </c>
    </row>
    <row r="278" spans="1:14" x14ac:dyDescent="0.3">
      <c r="A278" t="s">
        <v>291</v>
      </c>
      <c r="B278">
        <v>77</v>
      </c>
      <c r="C278">
        <v>36</v>
      </c>
      <c r="D278" s="1">
        <v>46023.342361111114</v>
      </c>
      <c r="E278" s="8">
        <f t="shared" si="4"/>
        <v>46023</v>
      </c>
      <c r="F278">
        <v>149</v>
      </c>
      <c r="G278" t="s">
        <v>12</v>
      </c>
      <c r="H278" t="s">
        <v>10</v>
      </c>
      <c r="I278">
        <v>93</v>
      </c>
      <c r="J278" t="str">
        <f>_xlfn.IFNA(VLOOKUP(C278,merchants!$A$2:$D$41,2,FALSE),"Merchant not found")</f>
        <v>Merchant_036</v>
      </c>
      <c r="K278" t="str">
        <f>_xlfn.IFNA(VLOOKUP(C278,merchants!$A$2:$D$41,3,FALSE),"Merchant not found")</f>
        <v>entertainment</v>
      </c>
      <c r="L278" t="str">
        <f>_xlfn.IFNA(VLOOKUP(C278,merchants!$A$2:$D$41,4,FALSE),"Merchant not found")</f>
        <v>East</v>
      </c>
      <c r="M278" s="2">
        <f>HLOOKUP(G278,Fees!$B$1:$E$2,2,FALSE)</f>
        <v>0</v>
      </c>
      <c r="N278" t="str">
        <f>IF(AND(K278&lt;&gt;"East",GETPIVOTDATA("amount_inr",'Daily Totals'!$A$4,"merchant_name",J278,"Days (transaction_time)",TEXT(D278,"dd-mmm"))&gt;5000),"High-Value Merchant Day", "Normal")</f>
        <v>Normal</v>
      </c>
    </row>
    <row r="279" spans="1:14" x14ac:dyDescent="0.3">
      <c r="A279" t="s">
        <v>292</v>
      </c>
      <c r="B279">
        <v>57</v>
      </c>
      <c r="C279">
        <v>19</v>
      </c>
      <c r="D279" s="1">
        <v>46042.685416666667</v>
      </c>
      <c r="E279" s="8">
        <f t="shared" si="4"/>
        <v>46042</v>
      </c>
      <c r="F279">
        <v>49</v>
      </c>
      <c r="G279" t="s">
        <v>12</v>
      </c>
      <c r="H279" t="s">
        <v>10</v>
      </c>
      <c r="I279">
        <v>30</v>
      </c>
      <c r="J279" t="str">
        <f>_xlfn.IFNA(VLOOKUP(C279,merchants!$A$2:$D$41,2,FALSE),"Merchant not found")</f>
        <v>Merchant_019</v>
      </c>
      <c r="K279" t="str">
        <f>_xlfn.IFNA(VLOOKUP(C279,merchants!$A$2:$D$41,3,FALSE),"Merchant not found")</f>
        <v>grocery</v>
      </c>
      <c r="L279" t="str">
        <f>_xlfn.IFNA(VLOOKUP(C279,merchants!$A$2:$D$41,4,FALSE),"Merchant not found")</f>
        <v>North</v>
      </c>
      <c r="M279" s="2">
        <f>HLOOKUP(G279,Fees!$B$1:$E$2,2,FALSE)</f>
        <v>0</v>
      </c>
      <c r="N279" t="str">
        <f>IF(AND(K279&lt;&gt;"East",GETPIVOTDATA("amount_inr",'Daily Totals'!$A$4,"merchant_name",J279,"Days (transaction_time)",TEXT(D279,"dd-mmm"))&gt;5000),"High-Value Merchant Day", "Normal")</f>
        <v>Normal</v>
      </c>
    </row>
    <row r="280" spans="1:14" x14ac:dyDescent="0.3">
      <c r="A280" t="s">
        <v>293</v>
      </c>
      <c r="B280">
        <v>123</v>
      </c>
      <c r="C280">
        <v>27</v>
      </c>
      <c r="D280" s="1">
        <v>46032.127083333333</v>
      </c>
      <c r="E280" s="8">
        <f t="shared" si="4"/>
        <v>46032</v>
      </c>
      <c r="F280">
        <v>149</v>
      </c>
      <c r="G280" t="s">
        <v>15</v>
      </c>
      <c r="H280" t="s">
        <v>10</v>
      </c>
      <c r="I280">
        <v>81</v>
      </c>
      <c r="J280" t="str">
        <f>_xlfn.IFNA(VLOOKUP(C280,merchants!$A$2:$D$41,2,FALSE),"Merchant not found")</f>
        <v>Merchant_027</v>
      </c>
      <c r="K280" t="str">
        <f>_xlfn.IFNA(VLOOKUP(C280,merchants!$A$2:$D$41,3,FALSE),"Merchant not found")</f>
        <v>ecommerce</v>
      </c>
      <c r="L280" t="str">
        <f>_xlfn.IFNA(VLOOKUP(C280,merchants!$A$2:$D$41,4,FALSE),"Merchant not found")</f>
        <v>North</v>
      </c>
      <c r="M280" s="2">
        <f>HLOOKUP(G280,Fees!$B$1:$E$2,2,FALSE)</f>
        <v>0.01</v>
      </c>
      <c r="N280" t="str">
        <f>IF(AND(K280&lt;&gt;"East",GETPIVOTDATA("amount_inr",'Daily Totals'!$A$4,"merchant_name",J280,"Days (transaction_time)",TEXT(D280,"dd-mmm"))&gt;5000),"High-Value Merchant Day", "Normal")</f>
        <v>Normal</v>
      </c>
    </row>
    <row r="281" spans="1:14" x14ac:dyDescent="0.3">
      <c r="A281" t="s">
        <v>294</v>
      </c>
      <c r="B281">
        <v>33</v>
      </c>
      <c r="C281">
        <v>8</v>
      </c>
      <c r="D281" s="1">
        <v>46048.811805555553</v>
      </c>
      <c r="E281" s="8">
        <f t="shared" si="4"/>
        <v>46048</v>
      </c>
      <c r="F281">
        <v>299</v>
      </c>
      <c r="G281" t="s">
        <v>9</v>
      </c>
      <c r="H281" t="s">
        <v>10</v>
      </c>
      <c r="I281">
        <v>63</v>
      </c>
      <c r="J281" t="str">
        <f>_xlfn.IFNA(VLOOKUP(C281,merchants!$A$2:$D$41,2,FALSE),"Merchant not found")</f>
        <v>Merchant_008</v>
      </c>
      <c r="K281" t="str">
        <f>_xlfn.IFNA(VLOOKUP(C281,merchants!$A$2:$D$41,3,FALSE),"Merchant not found")</f>
        <v>food_delivery</v>
      </c>
      <c r="L281" t="str">
        <f>_xlfn.IFNA(VLOOKUP(C281,merchants!$A$2:$D$41,4,FALSE),"Merchant not found")</f>
        <v>North</v>
      </c>
      <c r="M281" s="2">
        <f>HLOOKUP(G281,Fees!$B$1:$E$2,2,FALSE)</f>
        <v>1.4999999999999999E-2</v>
      </c>
      <c r="N281" t="str">
        <f>IF(AND(K281&lt;&gt;"East",GETPIVOTDATA("amount_inr",'Daily Totals'!$A$4,"merchant_name",J281,"Days (transaction_time)",TEXT(D281,"dd-mmm"))&gt;5000),"High-Value Merchant Day", "Normal")</f>
        <v>Normal</v>
      </c>
    </row>
    <row r="282" spans="1:14" x14ac:dyDescent="0.3">
      <c r="A282" t="s">
        <v>295</v>
      </c>
      <c r="B282">
        <v>324</v>
      </c>
      <c r="C282">
        <v>33</v>
      </c>
      <c r="D282" s="1">
        <v>46042.709027777775</v>
      </c>
      <c r="E282" s="8">
        <f t="shared" si="4"/>
        <v>46042</v>
      </c>
      <c r="F282">
        <v>499</v>
      </c>
      <c r="G282" t="s">
        <v>12</v>
      </c>
      <c r="H282" t="s">
        <v>10</v>
      </c>
      <c r="I282">
        <v>73</v>
      </c>
      <c r="J282" t="str">
        <f>_xlfn.IFNA(VLOOKUP(C282,merchants!$A$2:$D$41,2,FALSE),"Merchant not found")</f>
        <v>Merchant_033</v>
      </c>
      <c r="K282" t="str">
        <f>_xlfn.IFNA(VLOOKUP(C282,merchants!$A$2:$D$41,3,FALSE),"Merchant not found")</f>
        <v>bill_payment</v>
      </c>
      <c r="L282" t="str">
        <f>_xlfn.IFNA(VLOOKUP(C282,merchants!$A$2:$D$41,4,FALSE),"Merchant not found")</f>
        <v>East</v>
      </c>
      <c r="M282" s="2">
        <f>HLOOKUP(G282,Fees!$B$1:$E$2,2,FALSE)</f>
        <v>0</v>
      </c>
      <c r="N282" t="str">
        <f>IF(AND(K282&lt;&gt;"East",GETPIVOTDATA("amount_inr",'Daily Totals'!$A$4,"merchant_name",J282,"Days (transaction_time)",TEXT(D282,"dd-mmm"))&gt;5000),"High-Value Merchant Day", "Normal")</f>
        <v>Normal</v>
      </c>
    </row>
    <row r="283" spans="1:14" x14ac:dyDescent="0.3">
      <c r="A283" t="s">
        <v>296</v>
      </c>
      <c r="B283">
        <v>150</v>
      </c>
      <c r="C283">
        <v>28</v>
      </c>
      <c r="D283" s="1">
        <v>46030.92291666667</v>
      </c>
      <c r="E283" s="8">
        <f t="shared" si="4"/>
        <v>46030</v>
      </c>
      <c r="F283">
        <v>49</v>
      </c>
      <c r="G283" t="s">
        <v>12</v>
      </c>
      <c r="H283" t="s">
        <v>25</v>
      </c>
      <c r="I283">
        <v>0</v>
      </c>
      <c r="J283" t="str">
        <f>_xlfn.IFNA(VLOOKUP(C283,merchants!$A$2:$D$41,2,FALSE),"Merchant not found")</f>
        <v>Merchant_028</v>
      </c>
      <c r="K283" t="str">
        <f>_xlfn.IFNA(VLOOKUP(C283,merchants!$A$2:$D$41,3,FALSE),"Merchant not found")</f>
        <v>ecommerce</v>
      </c>
      <c r="L283" t="str">
        <f>_xlfn.IFNA(VLOOKUP(C283,merchants!$A$2:$D$41,4,FALSE),"Merchant not found")</f>
        <v>South</v>
      </c>
      <c r="M283" s="2">
        <f>HLOOKUP(G283,Fees!$B$1:$E$2,2,FALSE)</f>
        <v>0</v>
      </c>
      <c r="N283" t="str">
        <f>IF(AND(K283&lt;&gt;"East",GETPIVOTDATA("amount_inr",'Daily Totals'!$A$4,"merchant_name",J283,"Days (transaction_time)",TEXT(D283,"dd-mmm"))&gt;5000),"High-Value Merchant Day", "Normal")</f>
        <v>Normal</v>
      </c>
    </row>
    <row r="284" spans="1:14" x14ac:dyDescent="0.3">
      <c r="A284" t="s">
        <v>297</v>
      </c>
      <c r="B284">
        <v>293</v>
      </c>
      <c r="C284">
        <v>27</v>
      </c>
      <c r="D284" s="1">
        <v>46042.46875</v>
      </c>
      <c r="E284" s="8">
        <f t="shared" si="4"/>
        <v>46042</v>
      </c>
      <c r="F284">
        <v>4999</v>
      </c>
      <c r="G284" t="s">
        <v>12</v>
      </c>
      <c r="H284" t="s">
        <v>10</v>
      </c>
      <c r="I284">
        <v>23</v>
      </c>
      <c r="J284" t="str">
        <f>_xlfn.IFNA(VLOOKUP(C284,merchants!$A$2:$D$41,2,FALSE),"Merchant not found")</f>
        <v>Merchant_027</v>
      </c>
      <c r="K284" t="str">
        <f>_xlfn.IFNA(VLOOKUP(C284,merchants!$A$2:$D$41,3,FALSE),"Merchant not found")</f>
        <v>ecommerce</v>
      </c>
      <c r="L284" t="str">
        <f>_xlfn.IFNA(VLOOKUP(C284,merchants!$A$2:$D$41,4,FALSE),"Merchant not found")</f>
        <v>North</v>
      </c>
      <c r="M284" s="2">
        <f>HLOOKUP(G284,Fees!$B$1:$E$2,2,FALSE)</f>
        <v>0</v>
      </c>
      <c r="N284" t="str">
        <f>IF(AND(K284&lt;&gt;"East",GETPIVOTDATA("amount_inr",'Daily Totals'!$A$4,"merchant_name",J284,"Days (transaction_time)",TEXT(D284,"dd-mmm"))&gt;5000),"High-Value Merchant Day", "Normal")</f>
        <v>Normal</v>
      </c>
    </row>
    <row r="285" spans="1:14" x14ac:dyDescent="0.3">
      <c r="A285" t="s">
        <v>298</v>
      </c>
      <c r="B285">
        <v>269</v>
      </c>
      <c r="C285">
        <v>24</v>
      </c>
      <c r="D285" s="1">
        <v>46044.878472222219</v>
      </c>
      <c r="E285" s="8">
        <f t="shared" si="4"/>
        <v>46044</v>
      </c>
      <c r="F285">
        <v>49</v>
      </c>
      <c r="G285" t="s">
        <v>9</v>
      </c>
      <c r="H285" t="s">
        <v>10</v>
      </c>
      <c r="I285">
        <v>8</v>
      </c>
      <c r="J285" t="str">
        <f>_xlfn.IFNA(VLOOKUP(C285,merchants!$A$2:$D$41,2,FALSE),"Merchant not found")</f>
        <v>Merchant_024</v>
      </c>
      <c r="K285" t="str">
        <f>_xlfn.IFNA(VLOOKUP(C285,merchants!$A$2:$D$41,3,FALSE),"Merchant not found")</f>
        <v>grocery</v>
      </c>
      <c r="L285" t="str">
        <f>_xlfn.IFNA(VLOOKUP(C285,merchants!$A$2:$D$41,4,FALSE),"Merchant not found")</f>
        <v>North</v>
      </c>
      <c r="M285" s="2">
        <f>HLOOKUP(G285,Fees!$B$1:$E$2,2,FALSE)</f>
        <v>1.4999999999999999E-2</v>
      </c>
      <c r="N285" t="str">
        <f>IF(AND(K285&lt;&gt;"East",GETPIVOTDATA("amount_inr",'Daily Totals'!$A$4,"merchant_name",J285,"Days (transaction_time)",TEXT(D285,"dd-mmm"))&gt;5000),"High-Value Merchant Day", "Normal")</f>
        <v>Normal</v>
      </c>
    </row>
    <row r="286" spans="1:14" x14ac:dyDescent="0.3">
      <c r="A286" t="s">
        <v>299</v>
      </c>
      <c r="B286">
        <v>260</v>
      </c>
      <c r="C286">
        <v>36</v>
      </c>
      <c r="D286" s="1">
        <v>46039.730555555558</v>
      </c>
      <c r="E286" s="8">
        <f t="shared" si="4"/>
        <v>46039</v>
      </c>
      <c r="F286">
        <v>1499</v>
      </c>
      <c r="G286" t="s">
        <v>12</v>
      </c>
      <c r="H286" t="s">
        <v>10</v>
      </c>
      <c r="I286">
        <v>2</v>
      </c>
      <c r="J286" t="str">
        <f>_xlfn.IFNA(VLOOKUP(C286,merchants!$A$2:$D$41,2,FALSE),"Merchant not found")</f>
        <v>Merchant_036</v>
      </c>
      <c r="K286" t="str">
        <f>_xlfn.IFNA(VLOOKUP(C286,merchants!$A$2:$D$41,3,FALSE),"Merchant not found")</f>
        <v>entertainment</v>
      </c>
      <c r="L286" t="str">
        <f>_xlfn.IFNA(VLOOKUP(C286,merchants!$A$2:$D$41,4,FALSE),"Merchant not found")</f>
        <v>East</v>
      </c>
      <c r="M286" s="2">
        <f>HLOOKUP(G286,Fees!$B$1:$E$2,2,FALSE)</f>
        <v>0</v>
      </c>
      <c r="N286" t="str">
        <f>IF(AND(K286&lt;&gt;"East",GETPIVOTDATA("amount_inr",'Daily Totals'!$A$4,"merchant_name",J286,"Days (transaction_time)",TEXT(D286,"dd-mmm"))&gt;5000),"High-Value Merchant Day", "Normal")</f>
        <v>Normal</v>
      </c>
    </row>
    <row r="287" spans="1:14" x14ac:dyDescent="0.3">
      <c r="A287" t="s">
        <v>300</v>
      </c>
      <c r="B287">
        <v>326</v>
      </c>
      <c r="C287">
        <v>25</v>
      </c>
      <c r="D287" s="1">
        <v>46035.626388888886</v>
      </c>
      <c r="E287" s="8">
        <f t="shared" si="4"/>
        <v>46035</v>
      </c>
      <c r="F287">
        <v>49</v>
      </c>
      <c r="G287" t="s">
        <v>12</v>
      </c>
      <c r="H287" t="s">
        <v>10</v>
      </c>
      <c r="I287">
        <v>47</v>
      </c>
      <c r="J287" t="str">
        <f>_xlfn.IFNA(VLOOKUP(C287,merchants!$A$2:$D$41,2,FALSE),"Merchant not found")</f>
        <v>Merchant_025</v>
      </c>
      <c r="K287" t="str">
        <f>_xlfn.IFNA(VLOOKUP(C287,merchants!$A$2:$D$41,3,FALSE),"Merchant not found")</f>
        <v>travel</v>
      </c>
      <c r="L287" t="str">
        <f>_xlfn.IFNA(VLOOKUP(C287,merchants!$A$2:$D$41,4,FALSE),"Merchant not found")</f>
        <v>South</v>
      </c>
      <c r="M287" s="2">
        <f>HLOOKUP(G287,Fees!$B$1:$E$2,2,FALSE)</f>
        <v>0</v>
      </c>
      <c r="N287" t="str">
        <f>IF(AND(K287&lt;&gt;"East",GETPIVOTDATA("amount_inr",'Daily Totals'!$A$4,"merchant_name",J287,"Days (transaction_time)",TEXT(D287,"dd-mmm"))&gt;5000),"High-Value Merchant Day", "Normal")</f>
        <v>Normal</v>
      </c>
    </row>
    <row r="288" spans="1:14" x14ac:dyDescent="0.3">
      <c r="A288" t="s">
        <v>301</v>
      </c>
      <c r="B288">
        <v>183</v>
      </c>
      <c r="C288">
        <v>5</v>
      </c>
      <c r="D288" s="1">
        <v>46031.959027777775</v>
      </c>
      <c r="E288" s="8">
        <f t="shared" si="4"/>
        <v>46031</v>
      </c>
      <c r="F288">
        <v>49</v>
      </c>
      <c r="G288" t="s">
        <v>24</v>
      </c>
      <c r="H288" t="s">
        <v>10</v>
      </c>
      <c r="I288">
        <v>44</v>
      </c>
      <c r="J288" t="str">
        <f>_xlfn.IFNA(VLOOKUP(C288,merchants!$A$2:$D$41,2,FALSE),"Merchant not found")</f>
        <v>Merchant_005</v>
      </c>
      <c r="K288" t="str">
        <f>_xlfn.IFNA(VLOOKUP(C288,merchants!$A$2:$D$41,3,FALSE),"Merchant not found")</f>
        <v>recharge</v>
      </c>
      <c r="L288" t="str">
        <f>_xlfn.IFNA(VLOOKUP(C288,merchants!$A$2:$D$41,4,FALSE),"Merchant not found")</f>
        <v>South</v>
      </c>
      <c r="M288" s="2">
        <f>HLOOKUP(G288,Fees!$B$1:$E$2,2,FALSE)</f>
        <v>0.02</v>
      </c>
      <c r="N288" t="str">
        <f>IF(AND(K288&lt;&gt;"East",GETPIVOTDATA("amount_inr",'Daily Totals'!$A$4,"merchant_name",J288,"Days (transaction_time)",TEXT(D288,"dd-mmm"))&gt;5000),"High-Value Merchant Day", "Normal")</f>
        <v>Normal</v>
      </c>
    </row>
    <row r="289" spans="1:14" x14ac:dyDescent="0.3">
      <c r="A289" t="s">
        <v>302</v>
      </c>
      <c r="B289">
        <v>322</v>
      </c>
      <c r="C289">
        <v>7</v>
      </c>
      <c r="D289" s="1">
        <v>46030.987500000003</v>
      </c>
      <c r="E289" s="8">
        <f t="shared" si="4"/>
        <v>46030</v>
      </c>
      <c r="F289">
        <v>299</v>
      </c>
      <c r="G289" t="s">
        <v>12</v>
      </c>
      <c r="H289" t="s">
        <v>10</v>
      </c>
      <c r="I289">
        <v>98</v>
      </c>
      <c r="J289" t="str">
        <f>_xlfn.IFNA(VLOOKUP(C289,merchants!$A$2:$D$41,2,FALSE),"Merchant not found")</f>
        <v>Merchant_007</v>
      </c>
      <c r="K289" t="str">
        <f>_xlfn.IFNA(VLOOKUP(C289,merchants!$A$2:$D$41,3,FALSE),"Merchant not found")</f>
        <v>food_delivery</v>
      </c>
      <c r="L289" t="str">
        <f>_xlfn.IFNA(VLOOKUP(C289,merchants!$A$2:$D$41,4,FALSE),"Merchant not found")</f>
        <v>East</v>
      </c>
      <c r="M289" s="2">
        <f>HLOOKUP(G289,Fees!$B$1:$E$2,2,FALSE)</f>
        <v>0</v>
      </c>
      <c r="N289" t="str">
        <f>IF(AND(K289&lt;&gt;"East",GETPIVOTDATA("amount_inr",'Daily Totals'!$A$4,"merchant_name",J289,"Days (transaction_time)",TEXT(D289,"dd-mmm"))&gt;5000),"High-Value Merchant Day", "Normal")</f>
        <v>Normal</v>
      </c>
    </row>
    <row r="290" spans="1:14" x14ac:dyDescent="0.3">
      <c r="A290" t="s">
        <v>303</v>
      </c>
      <c r="B290">
        <v>171</v>
      </c>
      <c r="C290">
        <v>9</v>
      </c>
      <c r="D290" s="1">
        <v>46041.991666666669</v>
      </c>
      <c r="E290" s="8">
        <f t="shared" si="4"/>
        <v>46041</v>
      </c>
      <c r="F290">
        <v>299</v>
      </c>
      <c r="G290" t="s">
        <v>12</v>
      </c>
      <c r="H290" t="s">
        <v>10</v>
      </c>
      <c r="I290">
        <v>5</v>
      </c>
      <c r="J290" t="str">
        <f>_xlfn.IFNA(VLOOKUP(C290,merchants!$A$2:$D$41,2,FALSE),"Merchant not found")</f>
        <v>Merchant_009</v>
      </c>
      <c r="K290" t="str">
        <f>_xlfn.IFNA(VLOOKUP(C290,merchants!$A$2:$D$41,3,FALSE),"Merchant not found")</f>
        <v>ecommerce</v>
      </c>
      <c r="L290" t="str">
        <f>_xlfn.IFNA(VLOOKUP(C290,merchants!$A$2:$D$41,4,FALSE),"Merchant not found")</f>
        <v>North</v>
      </c>
      <c r="M290" s="2">
        <f>HLOOKUP(G290,Fees!$B$1:$E$2,2,FALSE)</f>
        <v>0</v>
      </c>
      <c r="N290" t="str">
        <f>IF(AND(K290&lt;&gt;"East",GETPIVOTDATA("amount_inr",'Daily Totals'!$A$4,"merchant_name",J290,"Days (transaction_time)",TEXT(D290,"dd-mmm"))&gt;5000),"High-Value Merchant Day", "Normal")</f>
        <v>Normal</v>
      </c>
    </row>
    <row r="291" spans="1:14" x14ac:dyDescent="0.3">
      <c r="A291" t="s">
        <v>304</v>
      </c>
      <c r="B291">
        <v>330</v>
      </c>
      <c r="C291">
        <v>12</v>
      </c>
      <c r="D291" s="1">
        <v>46034.722916666666</v>
      </c>
      <c r="E291" s="8">
        <f t="shared" si="4"/>
        <v>46034</v>
      </c>
      <c r="F291">
        <v>1499</v>
      </c>
      <c r="G291" t="s">
        <v>15</v>
      </c>
      <c r="H291" t="s">
        <v>10</v>
      </c>
      <c r="I291">
        <v>99</v>
      </c>
      <c r="J291" t="str">
        <f>_xlfn.IFNA(VLOOKUP(C291,merchants!$A$2:$D$41,2,FALSE),"Merchant not found")</f>
        <v>Merchant_012</v>
      </c>
      <c r="K291" t="str">
        <f>_xlfn.IFNA(VLOOKUP(C291,merchants!$A$2:$D$41,3,FALSE),"Merchant not found")</f>
        <v>ecommerce</v>
      </c>
      <c r="L291" t="str">
        <f>_xlfn.IFNA(VLOOKUP(C291,merchants!$A$2:$D$41,4,FALSE),"Merchant not found")</f>
        <v>East</v>
      </c>
      <c r="M291" s="2">
        <f>HLOOKUP(G291,Fees!$B$1:$E$2,2,FALSE)</f>
        <v>0.01</v>
      </c>
      <c r="N291" t="str">
        <f>IF(AND(K291&lt;&gt;"East",GETPIVOTDATA("amount_inr",'Daily Totals'!$A$4,"merchant_name",J291,"Days (transaction_time)",TEXT(D291,"dd-mmm"))&gt;5000),"High-Value Merchant Day", "Normal")</f>
        <v>Normal</v>
      </c>
    </row>
    <row r="292" spans="1:14" x14ac:dyDescent="0.3">
      <c r="A292" t="s">
        <v>305</v>
      </c>
      <c r="B292">
        <v>246</v>
      </c>
      <c r="C292">
        <v>12</v>
      </c>
      <c r="D292" s="1">
        <v>46044.613888888889</v>
      </c>
      <c r="E292" s="8">
        <f t="shared" si="4"/>
        <v>46044</v>
      </c>
      <c r="F292">
        <v>99</v>
      </c>
      <c r="G292" t="s">
        <v>9</v>
      </c>
      <c r="H292" t="s">
        <v>10</v>
      </c>
      <c r="I292">
        <v>17</v>
      </c>
      <c r="J292" t="str">
        <f>_xlfn.IFNA(VLOOKUP(C292,merchants!$A$2:$D$41,2,FALSE),"Merchant not found")</f>
        <v>Merchant_012</v>
      </c>
      <c r="K292" t="str">
        <f>_xlfn.IFNA(VLOOKUP(C292,merchants!$A$2:$D$41,3,FALSE),"Merchant not found")</f>
        <v>ecommerce</v>
      </c>
      <c r="L292" t="str">
        <f>_xlfn.IFNA(VLOOKUP(C292,merchants!$A$2:$D$41,4,FALSE),"Merchant not found")</f>
        <v>East</v>
      </c>
      <c r="M292" s="2">
        <f>HLOOKUP(G292,Fees!$B$1:$E$2,2,FALSE)</f>
        <v>1.4999999999999999E-2</v>
      </c>
      <c r="N292" t="str">
        <f>IF(AND(K292&lt;&gt;"East",GETPIVOTDATA("amount_inr",'Daily Totals'!$A$4,"merchant_name",J292,"Days (transaction_time)",TEXT(D292,"dd-mmm"))&gt;5000),"High-Value Merchant Day", "Normal")</f>
        <v>Normal</v>
      </c>
    </row>
    <row r="293" spans="1:14" x14ac:dyDescent="0.3">
      <c r="A293" t="s">
        <v>306</v>
      </c>
      <c r="B293">
        <v>235</v>
      </c>
      <c r="C293">
        <v>3</v>
      </c>
      <c r="D293" s="1">
        <v>46025.950694444444</v>
      </c>
      <c r="E293" s="8">
        <f t="shared" si="4"/>
        <v>46025</v>
      </c>
      <c r="F293">
        <v>49</v>
      </c>
      <c r="G293" t="s">
        <v>12</v>
      </c>
      <c r="H293" t="s">
        <v>10</v>
      </c>
      <c r="I293">
        <v>37</v>
      </c>
      <c r="J293" t="str">
        <f>_xlfn.IFNA(VLOOKUP(C293,merchants!$A$2:$D$41,2,FALSE),"Merchant not found")</f>
        <v>Merchant_003</v>
      </c>
      <c r="K293" t="str">
        <f>_xlfn.IFNA(VLOOKUP(C293,merchants!$A$2:$D$41,3,FALSE),"Merchant not found")</f>
        <v>grocery</v>
      </c>
      <c r="L293" t="str">
        <f>_xlfn.IFNA(VLOOKUP(C293,merchants!$A$2:$D$41,4,FALSE),"Merchant not found")</f>
        <v>East</v>
      </c>
      <c r="M293" s="2">
        <f>HLOOKUP(G293,Fees!$B$1:$E$2,2,FALSE)</f>
        <v>0</v>
      </c>
      <c r="N293" t="str">
        <f>IF(AND(K293&lt;&gt;"East",GETPIVOTDATA("amount_inr",'Daily Totals'!$A$4,"merchant_name",J293,"Days (transaction_time)",TEXT(D293,"dd-mmm"))&gt;5000),"High-Value Merchant Day", "Normal")</f>
        <v>Normal</v>
      </c>
    </row>
    <row r="294" spans="1:14" x14ac:dyDescent="0.3">
      <c r="A294" t="s">
        <v>307</v>
      </c>
      <c r="B294">
        <v>103</v>
      </c>
      <c r="C294">
        <v>3</v>
      </c>
      <c r="D294" s="1">
        <v>46029.076388888891</v>
      </c>
      <c r="E294" s="8">
        <f t="shared" si="4"/>
        <v>46029</v>
      </c>
      <c r="F294">
        <v>499</v>
      </c>
      <c r="G294" t="s">
        <v>12</v>
      </c>
      <c r="H294" t="s">
        <v>10</v>
      </c>
      <c r="I294">
        <v>40</v>
      </c>
      <c r="J294" t="str">
        <f>_xlfn.IFNA(VLOOKUP(C294,merchants!$A$2:$D$41,2,FALSE),"Merchant not found")</f>
        <v>Merchant_003</v>
      </c>
      <c r="K294" t="str">
        <f>_xlfn.IFNA(VLOOKUP(C294,merchants!$A$2:$D$41,3,FALSE),"Merchant not found")</f>
        <v>grocery</v>
      </c>
      <c r="L294" t="str">
        <f>_xlfn.IFNA(VLOOKUP(C294,merchants!$A$2:$D$41,4,FALSE),"Merchant not found")</f>
        <v>East</v>
      </c>
      <c r="M294" s="2">
        <f>HLOOKUP(G294,Fees!$B$1:$E$2,2,FALSE)</f>
        <v>0</v>
      </c>
      <c r="N294" t="str">
        <f>IF(AND(K294&lt;&gt;"East",GETPIVOTDATA("amount_inr",'Daily Totals'!$A$4,"merchant_name",J294,"Days (transaction_time)",TEXT(D294,"dd-mmm"))&gt;5000),"High-Value Merchant Day", "Normal")</f>
        <v>Normal</v>
      </c>
    </row>
    <row r="295" spans="1:14" x14ac:dyDescent="0.3">
      <c r="A295" t="s">
        <v>308</v>
      </c>
      <c r="B295">
        <v>204</v>
      </c>
      <c r="C295">
        <v>35</v>
      </c>
      <c r="D295" s="1">
        <v>46052.397222222222</v>
      </c>
      <c r="E295" s="8">
        <f t="shared" si="4"/>
        <v>46052</v>
      </c>
      <c r="F295">
        <v>99</v>
      </c>
      <c r="G295" t="s">
        <v>9</v>
      </c>
      <c r="H295" t="s">
        <v>10</v>
      </c>
      <c r="I295">
        <v>60</v>
      </c>
      <c r="J295" t="str">
        <f>_xlfn.IFNA(VLOOKUP(C295,merchants!$A$2:$D$41,2,FALSE),"Merchant not found")</f>
        <v>Merchant_035</v>
      </c>
      <c r="K295" t="str">
        <f>_xlfn.IFNA(VLOOKUP(C295,merchants!$A$2:$D$41,3,FALSE),"Merchant not found")</f>
        <v>recharge</v>
      </c>
      <c r="L295" t="str">
        <f>_xlfn.IFNA(VLOOKUP(C295,merchants!$A$2:$D$41,4,FALSE),"Merchant not found")</f>
        <v>East</v>
      </c>
      <c r="M295" s="2">
        <f>HLOOKUP(G295,Fees!$B$1:$E$2,2,FALSE)</f>
        <v>1.4999999999999999E-2</v>
      </c>
      <c r="N295" t="str">
        <f>IF(AND(K295&lt;&gt;"East",GETPIVOTDATA("amount_inr",'Daily Totals'!$A$4,"merchant_name",J295,"Days (transaction_time)",TEXT(D295,"dd-mmm"))&gt;5000),"High-Value Merchant Day", "Normal")</f>
        <v>Normal</v>
      </c>
    </row>
    <row r="296" spans="1:14" x14ac:dyDescent="0.3">
      <c r="A296" t="s">
        <v>309</v>
      </c>
      <c r="B296">
        <v>332</v>
      </c>
      <c r="C296">
        <v>13</v>
      </c>
      <c r="D296" s="1">
        <v>46031.074999999997</v>
      </c>
      <c r="E296" s="8">
        <f t="shared" si="4"/>
        <v>46031</v>
      </c>
      <c r="F296">
        <v>49</v>
      </c>
      <c r="G296" t="s">
        <v>24</v>
      </c>
      <c r="H296" t="s">
        <v>10</v>
      </c>
      <c r="I296">
        <v>36</v>
      </c>
      <c r="J296" t="str">
        <f>_xlfn.IFNA(VLOOKUP(C296,merchants!$A$2:$D$41,2,FALSE),"Merchant not found")</f>
        <v>Merchant_013</v>
      </c>
      <c r="K296" t="str">
        <f>_xlfn.IFNA(VLOOKUP(C296,merchants!$A$2:$D$41,3,FALSE),"Merchant not found")</f>
        <v>travel</v>
      </c>
      <c r="L296" t="str">
        <f>_xlfn.IFNA(VLOOKUP(C296,merchants!$A$2:$D$41,4,FALSE),"Merchant not found")</f>
        <v>East</v>
      </c>
      <c r="M296" s="2">
        <f>HLOOKUP(G296,Fees!$B$1:$E$2,2,FALSE)</f>
        <v>0.02</v>
      </c>
      <c r="N296" t="str">
        <f>IF(AND(K296&lt;&gt;"East",GETPIVOTDATA("amount_inr",'Daily Totals'!$A$4,"merchant_name",J296,"Days (transaction_time)",TEXT(D296,"dd-mmm"))&gt;5000),"High-Value Merchant Day", "Normal")</f>
        <v>Normal</v>
      </c>
    </row>
    <row r="297" spans="1:14" x14ac:dyDescent="0.3">
      <c r="A297" t="s">
        <v>310</v>
      </c>
      <c r="B297">
        <v>336</v>
      </c>
      <c r="C297">
        <v>22</v>
      </c>
      <c r="D297" s="1">
        <v>46034.079861111109</v>
      </c>
      <c r="E297" s="8">
        <f t="shared" si="4"/>
        <v>46034</v>
      </c>
      <c r="F297">
        <v>499</v>
      </c>
      <c r="G297" t="s">
        <v>12</v>
      </c>
      <c r="H297" t="s">
        <v>10</v>
      </c>
      <c r="I297">
        <v>34</v>
      </c>
      <c r="J297" t="str">
        <f>_xlfn.IFNA(VLOOKUP(C297,merchants!$A$2:$D$41,2,FALSE),"Merchant not found")</f>
        <v>Merchant_022</v>
      </c>
      <c r="K297" t="str">
        <f>_xlfn.IFNA(VLOOKUP(C297,merchants!$A$2:$D$41,3,FALSE),"Merchant not found")</f>
        <v>travel</v>
      </c>
      <c r="L297" t="str">
        <f>_xlfn.IFNA(VLOOKUP(C297,merchants!$A$2:$D$41,4,FALSE),"Merchant not found")</f>
        <v>South</v>
      </c>
      <c r="M297" s="2">
        <f>HLOOKUP(G297,Fees!$B$1:$E$2,2,FALSE)</f>
        <v>0</v>
      </c>
      <c r="N297" t="str">
        <f>IF(AND(K297&lt;&gt;"East",GETPIVOTDATA("amount_inr",'Daily Totals'!$A$4,"merchant_name",J297,"Days (transaction_time)",TEXT(D297,"dd-mmm"))&gt;5000),"High-Value Merchant Day", "Normal")</f>
        <v>Normal</v>
      </c>
    </row>
    <row r="298" spans="1:14" x14ac:dyDescent="0.3">
      <c r="A298" t="s">
        <v>311</v>
      </c>
      <c r="B298">
        <v>205</v>
      </c>
      <c r="C298">
        <v>29</v>
      </c>
      <c r="D298" s="1">
        <v>46026.477083333331</v>
      </c>
      <c r="E298" s="8">
        <f t="shared" si="4"/>
        <v>46026</v>
      </c>
      <c r="F298">
        <v>99</v>
      </c>
      <c r="G298" t="s">
        <v>9</v>
      </c>
      <c r="H298" t="s">
        <v>10</v>
      </c>
      <c r="I298">
        <v>49</v>
      </c>
      <c r="J298" t="str">
        <f>_xlfn.IFNA(VLOOKUP(C298,merchants!$A$2:$D$41,2,FALSE),"Merchant not found")</f>
        <v>Merchant_029</v>
      </c>
      <c r="K298" t="str">
        <f>_xlfn.IFNA(VLOOKUP(C298,merchants!$A$2:$D$41,3,FALSE),"Merchant not found")</f>
        <v>ecommerce</v>
      </c>
      <c r="L298" t="str">
        <f>_xlfn.IFNA(VLOOKUP(C298,merchants!$A$2:$D$41,4,FALSE),"Merchant not found")</f>
        <v>North</v>
      </c>
      <c r="M298" s="2">
        <f>HLOOKUP(G298,Fees!$B$1:$E$2,2,FALSE)</f>
        <v>1.4999999999999999E-2</v>
      </c>
      <c r="N298" t="str">
        <f>IF(AND(K298&lt;&gt;"East",GETPIVOTDATA("amount_inr",'Daily Totals'!$A$4,"merchant_name",J298,"Days (transaction_time)",TEXT(D298,"dd-mmm"))&gt;5000),"High-Value Merchant Day", "Normal")</f>
        <v>Normal</v>
      </c>
    </row>
    <row r="299" spans="1:14" x14ac:dyDescent="0.3">
      <c r="A299" t="s">
        <v>312</v>
      </c>
      <c r="B299">
        <v>255</v>
      </c>
      <c r="C299">
        <v>24</v>
      </c>
      <c r="D299" s="1">
        <v>46033.229861111111</v>
      </c>
      <c r="E299" s="8">
        <f t="shared" si="4"/>
        <v>46033</v>
      </c>
      <c r="F299">
        <v>799</v>
      </c>
      <c r="G299" t="s">
        <v>12</v>
      </c>
      <c r="H299" t="s">
        <v>10</v>
      </c>
      <c r="I299">
        <v>66</v>
      </c>
      <c r="J299" t="str">
        <f>_xlfn.IFNA(VLOOKUP(C299,merchants!$A$2:$D$41,2,FALSE),"Merchant not found")</f>
        <v>Merchant_024</v>
      </c>
      <c r="K299" t="str">
        <f>_xlfn.IFNA(VLOOKUP(C299,merchants!$A$2:$D$41,3,FALSE),"Merchant not found")</f>
        <v>grocery</v>
      </c>
      <c r="L299" t="str">
        <f>_xlfn.IFNA(VLOOKUP(C299,merchants!$A$2:$D$41,4,FALSE),"Merchant not found")</f>
        <v>North</v>
      </c>
      <c r="M299" s="2">
        <f>HLOOKUP(G299,Fees!$B$1:$E$2,2,FALSE)</f>
        <v>0</v>
      </c>
      <c r="N299" t="str">
        <f>IF(AND(K299&lt;&gt;"East",GETPIVOTDATA("amount_inr",'Daily Totals'!$A$4,"merchant_name",J299,"Days (transaction_time)",TEXT(D299,"dd-mmm"))&gt;5000),"High-Value Merchant Day", "Normal")</f>
        <v>Normal</v>
      </c>
    </row>
    <row r="300" spans="1:14" x14ac:dyDescent="0.3">
      <c r="A300" t="s">
        <v>313</v>
      </c>
      <c r="B300">
        <v>218</v>
      </c>
      <c r="C300">
        <v>6</v>
      </c>
      <c r="D300" s="1">
        <v>46031.115277777775</v>
      </c>
      <c r="E300" s="8">
        <f t="shared" si="4"/>
        <v>46031</v>
      </c>
      <c r="F300">
        <v>99</v>
      </c>
      <c r="G300" t="s">
        <v>12</v>
      </c>
      <c r="H300" t="s">
        <v>10</v>
      </c>
      <c r="I300">
        <v>55</v>
      </c>
      <c r="J300" t="str">
        <f>_xlfn.IFNA(VLOOKUP(C300,merchants!$A$2:$D$41,2,FALSE),"Merchant not found")</f>
        <v>Merchant_006</v>
      </c>
      <c r="K300" t="str">
        <f>_xlfn.IFNA(VLOOKUP(C300,merchants!$A$2:$D$41,3,FALSE),"Merchant not found")</f>
        <v>food_delivery</v>
      </c>
      <c r="L300" t="str">
        <f>_xlfn.IFNA(VLOOKUP(C300,merchants!$A$2:$D$41,4,FALSE),"Merchant not found")</f>
        <v>South</v>
      </c>
      <c r="M300" s="2">
        <f>HLOOKUP(G300,Fees!$B$1:$E$2,2,FALSE)</f>
        <v>0</v>
      </c>
      <c r="N300" t="str">
        <f>IF(AND(K300&lt;&gt;"East",GETPIVOTDATA("amount_inr",'Daily Totals'!$A$4,"merchant_name",J300,"Days (transaction_time)",TEXT(D300,"dd-mmm"))&gt;5000),"High-Value Merchant Day", "Normal")</f>
        <v>Normal</v>
      </c>
    </row>
    <row r="301" spans="1:14" x14ac:dyDescent="0.3">
      <c r="A301" t="s">
        <v>314</v>
      </c>
      <c r="B301">
        <v>151</v>
      </c>
      <c r="C301">
        <v>21</v>
      </c>
      <c r="D301" s="1">
        <v>46042.231944444444</v>
      </c>
      <c r="E301" s="8">
        <f t="shared" si="4"/>
        <v>46042</v>
      </c>
      <c r="F301">
        <v>49</v>
      </c>
      <c r="G301" t="s">
        <v>12</v>
      </c>
      <c r="H301" t="s">
        <v>10</v>
      </c>
      <c r="I301">
        <v>13</v>
      </c>
      <c r="J301" t="str">
        <f>_xlfn.IFNA(VLOOKUP(C301,merchants!$A$2:$D$41,2,FALSE),"Merchant not found")</f>
        <v>Merchant_021</v>
      </c>
      <c r="K301" t="str">
        <f>_xlfn.IFNA(VLOOKUP(C301,merchants!$A$2:$D$41,3,FALSE),"Merchant not found")</f>
        <v>food_delivery</v>
      </c>
      <c r="L301" t="str">
        <f>_xlfn.IFNA(VLOOKUP(C301,merchants!$A$2:$D$41,4,FALSE),"Merchant not found")</f>
        <v>East</v>
      </c>
      <c r="M301" s="2">
        <f>HLOOKUP(G301,Fees!$B$1:$E$2,2,FALSE)</f>
        <v>0</v>
      </c>
      <c r="N301" t="str">
        <f>IF(AND(K301&lt;&gt;"East",GETPIVOTDATA("amount_inr",'Daily Totals'!$A$4,"merchant_name",J301,"Days (transaction_time)",TEXT(D301,"dd-mmm"))&gt;5000),"High-Value Merchant Day", "Normal")</f>
        <v>Normal</v>
      </c>
    </row>
    <row r="302" spans="1:14" x14ac:dyDescent="0.3">
      <c r="A302" t="s">
        <v>315</v>
      </c>
      <c r="B302">
        <v>152</v>
      </c>
      <c r="C302">
        <v>20</v>
      </c>
      <c r="D302" s="1">
        <v>46025.445833333331</v>
      </c>
      <c r="E302" s="8">
        <f t="shared" si="4"/>
        <v>46025</v>
      </c>
      <c r="F302">
        <v>49</v>
      </c>
      <c r="G302" t="s">
        <v>12</v>
      </c>
      <c r="H302" t="s">
        <v>10</v>
      </c>
      <c r="I302">
        <v>57</v>
      </c>
      <c r="J302" t="str">
        <f>_xlfn.IFNA(VLOOKUP(C302,merchants!$A$2:$D$41,2,FALSE),"Merchant not found")</f>
        <v>Merchant_020</v>
      </c>
      <c r="K302" t="str">
        <f>_xlfn.IFNA(VLOOKUP(C302,merchants!$A$2:$D$41,3,FALSE),"Merchant not found")</f>
        <v>food_delivery</v>
      </c>
      <c r="L302" t="str">
        <f>_xlfn.IFNA(VLOOKUP(C302,merchants!$A$2:$D$41,4,FALSE),"Merchant not found")</f>
        <v>East</v>
      </c>
      <c r="M302" s="2">
        <f>HLOOKUP(G302,Fees!$B$1:$E$2,2,FALSE)</f>
        <v>0</v>
      </c>
      <c r="N302" t="str">
        <f>IF(AND(K302&lt;&gt;"East",GETPIVOTDATA("amount_inr",'Daily Totals'!$A$4,"merchant_name",J302,"Days (transaction_time)",TEXT(D302,"dd-mmm"))&gt;5000),"High-Value Merchant Day", "Normal")</f>
        <v>Normal</v>
      </c>
    </row>
    <row r="303" spans="1:14" x14ac:dyDescent="0.3">
      <c r="A303" t="s">
        <v>316</v>
      </c>
      <c r="B303">
        <v>86</v>
      </c>
      <c r="C303">
        <v>29</v>
      </c>
      <c r="D303" s="1">
        <v>46042.935416666667</v>
      </c>
      <c r="E303" s="8">
        <f t="shared" si="4"/>
        <v>46042</v>
      </c>
      <c r="F303">
        <v>149</v>
      </c>
      <c r="G303" t="s">
        <v>24</v>
      </c>
      <c r="H303" t="s">
        <v>10</v>
      </c>
      <c r="I303">
        <v>44</v>
      </c>
      <c r="J303" t="str">
        <f>_xlfn.IFNA(VLOOKUP(C303,merchants!$A$2:$D$41,2,FALSE),"Merchant not found")</f>
        <v>Merchant_029</v>
      </c>
      <c r="K303" t="str">
        <f>_xlfn.IFNA(VLOOKUP(C303,merchants!$A$2:$D$41,3,FALSE),"Merchant not found")</f>
        <v>ecommerce</v>
      </c>
      <c r="L303" t="str">
        <f>_xlfn.IFNA(VLOOKUP(C303,merchants!$A$2:$D$41,4,FALSE),"Merchant not found")</f>
        <v>North</v>
      </c>
      <c r="M303" s="2">
        <f>HLOOKUP(G303,Fees!$B$1:$E$2,2,FALSE)</f>
        <v>0.02</v>
      </c>
      <c r="N303" t="str">
        <f>IF(AND(K303&lt;&gt;"East",GETPIVOTDATA("amount_inr",'Daily Totals'!$A$4,"merchant_name",J303,"Days (transaction_time)",TEXT(D303,"dd-mmm"))&gt;5000),"High-Value Merchant Day", "Normal")</f>
        <v>Normal</v>
      </c>
    </row>
    <row r="304" spans="1:14" x14ac:dyDescent="0.3">
      <c r="A304" t="s">
        <v>317</v>
      </c>
      <c r="B304">
        <v>181</v>
      </c>
      <c r="C304">
        <v>40</v>
      </c>
      <c r="D304" s="1">
        <v>46037.073611111111</v>
      </c>
      <c r="E304" s="8">
        <f t="shared" si="4"/>
        <v>46037</v>
      </c>
      <c r="F304">
        <v>149</v>
      </c>
      <c r="G304" t="s">
        <v>12</v>
      </c>
      <c r="H304" t="s">
        <v>10</v>
      </c>
      <c r="I304">
        <v>55</v>
      </c>
      <c r="J304" t="str">
        <f>_xlfn.IFNA(VLOOKUP(C304,merchants!$A$2:$D$41,2,FALSE),"Merchant not found")</f>
        <v>Merchant_040</v>
      </c>
      <c r="K304" t="str">
        <f>_xlfn.IFNA(VLOOKUP(C304,merchants!$A$2:$D$41,3,FALSE),"Merchant not found")</f>
        <v>entertainment</v>
      </c>
      <c r="L304" t="str">
        <f>_xlfn.IFNA(VLOOKUP(C304,merchants!$A$2:$D$41,4,FALSE),"Merchant not found")</f>
        <v>South</v>
      </c>
      <c r="M304" s="2">
        <f>HLOOKUP(G304,Fees!$B$1:$E$2,2,FALSE)</f>
        <v>0</v>
      </c>
      <c r="N304" t="str">
        <f>IF(AND(K304&lt;&gt;"East",GETPIVOTDATA("amount_inr",'Daily Totals'!$A$4,"merchant_name",J304,"Days (transaction_time)",TEXT(D304,"dd-mmm"))&gt;5000),"High-Value Merchant Day", "Normal")</f>
        <v>Normal</v>
      </c>
    </row>
    <row r="305" spans="1:14" x14ac:dyDescent="0.3">
      <c r="A305" t="s">
        <v>318</v>
      </c>
      <c r="B305">
        <v>30</v>
      </c>
      <c r="C305">
        <v>5</v>
      </c>
      <c r="D305" s="1">
        <v>46031.868055555555</v>
      </c>
      <c r="E305" s="8">
        <f t="shared" si="4"/>
        <v>46031</v>
      </c>
      <c r="F305">
        <v>299</v>
      </c>
      <c r="G305" t="s">
        <v>12</v>
      </c>
      <c r="H305" t="s">
        <v>10</v>
      </c>
      <c r="I305">
        <v>85</v>
      </c>
      <c r="J305" t="str">
        <f>_xlfn.IFNA(VLOOKUP(C305,merchants!$A$2:$D$41,2,FALSE),"Merchant not found")</f>
        <v>Merchant_005</v>
      </c>
      <c r="K305" t="str">
        <f>_xlfn.IFNA(VLOOKUP(C305,merchants!$A$2:$D$41,3,FALSE),"Merchant not found")</f>
        <v>recharge</v>
      </c>
      <c r="L305" t="str">
        <f>_xlfn.IFNA(VLOOKUP(C305,merchants!$A$2:$D$41,4,FALSE),"Merchant not found")</f>
        <v>South</v>
      </c>
      <c r="M305" s="2">
        <f>HLOOKUP(G305,Fees!$B$1:$E$2,2,FALSE)</f>
        <v>0</v>
      </c>
      <c r="N305" t="str">
        <f>IF(AND(K305&lt;&gt;"East",GETPIVOTDATA("amount_inr",'Daily Totals'!$A$4,"merchant_name",J305,"Days (transaction_time)",TEXT(D305,"dd-mmm"))&gt;5000),"High-Value Merchant Day", "Normal")</f>
        <v>Normal</v>
      </c>
    </row>
    <row r="306" spans="1:14" x14ac:dyDescent="0.3">
      <c r="A306" t="s">
        <v>319</v>
      </c>
      <c r="B306">
        <v>263</v>
      </c>
      <c r="C306">
        <v>11</v>
      </c>
      <c r="D306" s="1">
        <v>46043.515972222223</v>
      </c>
      <c r="E306" s="8">
        <f t="shared" si="4"/>
        <v>46043</v>
      </c>
      <c r="F306">
        <v>149</v>
      </c>
      <c r="G306" t="s">
        <v>9</v>
      </c>
      <c r="H306" t="s">
        <v>10</v>
      </c>
      <c r="I306">
        <v>3</v>
      </c>
      <c r="J306" t="str">
        <f>_xlfn.IFNA(VLOOKUP(C306,merchants!$A$2:$D$41,2,FALSE),"Merchant not found")</f>
        <v>Merchant_011</v>
      </c>
      <c r="K306" t="str">
        <f>_xlfn.IFNA(VLOOKUP(C306,merchants!$A$2:$D$41,3,FALSE),"Merchant not found")</f>
        <v>ecommerce</v>
      </c>
      <c r="L306" t="str">
        <f>_xlfn.IFNA(VLOOKUP(C306,merchants!$A$2:$D$41,4,FALSE),"Merchant not found")</f>
        <v>North</v>
      </c>
      <c r="M306" s="2">
        <f>HLOOKUP(G306,Fees!$B$1:$E$2,2,FALSE)</f>
        <v>1.4999999999999999E-2</v>
      </c>
      <c r="N306" t="str">
        <f>IF(AND(K306&lt;&gt;"East",GETPIVOTDATA("amount_inr",'Daily Totals'!$A$4,"merchant_name",J306,"Days (transaction_time)",TEXT(D306,"dd-mmm"))&gt;5000),"High-Value Merchant Day", "Normal")</f>
        <v>Normal</v>
      </c>
    </row>
    <row r="307" spans="1:14" x14ac:dyDescent="0.3">
      <c r="A307" t="s">
        <v>320</v>
      </c>
      <c r="B307">
        <v>225</v>
      </c>
      <c r="C307">
        <v>3</v>
      </c>
      <c r="D307" s="1">
        <v>46027.821527777778</v>
      </c>
      <c r="E307" s="8">
        <f t="shared" si="4"/>
        <v>46027</v>
      </c>
      <c r="F307">
        <v>99</v>
      </c>
      <c r="G307" t="s">
        <v>15</v>
      </c>
      <c r="H307" t="s">
        <v>10</v>
      </c>
      <c r="I307">
        <v>16</v>
      </c>
      <c r="J307" t="str">
        <f>_xlfn.IFNA(VLOOKUP(C307,merchants!$A$2:$D$41,2,FALSE),"Merchant not found")</f>
        <v>Merchant_003</v>
      </c>
      <c r="K307" t="str">
        <f>_xlfn.IFNA(VLOOKUP(C307,merchants!$A$2:$D$41,3,FALSE),"Merchant not found")</f>
        <v>grocery</v>
      </c>
      <c r="L307" t="str">
        <f>_xlfn.IFNA(VLOOKUP(C307,merchants!$A$2:$D$41,4,FALSE),"Merchant not found")</f>
        <v>East</v>
      </c>
      <c r="M307" s="2">
        <f>HLOOKUP(G307,Fees!$B$1:$E$2,2,FALSE)</f>
        <v>0.01</v>
      </c>
      <c r="N307" t="str">
        <f>IF(AND(K307&lt;&gt;"East",GETPIVOTDATA("amount_inr",'Daily Totals'!$A$4,"merchant_name",J307,"Days (transaction_time)",TEXT(D307,"dd-mmm"))&gt;5000),"High-Value Merchant Day", "Normal")</f>
        <v>Normal</v>
      </c>
    </row>
    <row r="308" spans="1:14" x14ac:dyDescent="0.3">
      <c r="A308" t="s">
        <v>321</v>
      </c>
      <c r="B308">
        <v>331</v>
      </c>
      <c r="C308">
        <v>24</v>
      </c>
      <c r="D308" s="1">
        <v>46025.325694444444</v>
      </c>
      <c r="E308" s="8">
        <f t="shared" si="4"/>
        <v>46025</v>
      </c>
      <c r="F308">
        <v>49</v>
      </c>
      <c r="G308" t="s">
        <v>24</v>
      </c>
      <c r="H308" t="s">
        <v>10</v>
      </c>
      <c r="I308">
        <v>46</v>
      </c>
      <c r="J308" t="str">
        <f>_xlfn.IFNA(VLOOKUP(C308,merchants!$A$2:$D$41,2,FALSE),"Merchant not found")</f>
        <v>Merchant_024</v>
      </c>
      <c r="K308" t="str">
        <f>_xlfn.IFNA(VLOOKUP(C308,merchants!$A$2:$D$41,3,FALSE),"Merchant not found")</f>
        <v>grocery</v>
      </c>
      <c r="L308" t="str">
        <f>_xlfn.IFNA(VLOOKUP(C308,merchants!$A$2:$D$41,4,FALSE),"Merchant not found")</f>
        <v>North</v>
      </c>
      <c r="M308" s="2">
        <f>HLOOKUP(G308,Fees!$B$1:$E$2,2,FALSE)</f>
        <v>0.02</v>
      </c>
      <c r="N308" t="str">
        <f>IF(AND(K308&lt;&gt;"East",GETPIVOTDATA("amount_inr",'Daily Totals'!$A$4,"merchant_name",J308,"Days (transaction_time)",TEXT(D308,"dd-mmm"))&gt;5000),"High-Value Merchant Day", "Normal")</f>
        <v>Normal</v>
      </c>
    </row>
    <row r="309" spans="1:14" x14ac:dyDescent="0.3">
      <c r="A309" t="s">
        <v>322</v>
      </c>
      <c r="B309">
        <v>310</v>
      </c>
      <c r="C309">
        <v>10</v>
      </c>
      <c r="D309" s="1">
        <v>46035.751388888886</v>
      </c>
      <c r="E309" s="8">
        <f t="shared" si="4"/>
        <v>46035</v>
      </c>
      <c r="F309">
        <v>1499</v>
      </c>
      <c r="G309" t="s">
        <v>24</v>
      </c>
      <c r="H309" t="s">
        <v>10</v>
      </c>
      <c r="I309">
        <v>86</v>
      </c>
      <c r="J309" t="str">
        <f>_xlfn.IFNA(VLOOKUP(C309,merchants!$A$2:$D$41,2,FALSE),"Merchant not found")</f>
        <v>Merchant_010</v>
      </c>
      <c r="K309" t="str">
        <f>_xlfn.IFNA(VLOOKUP(C309,merchants!$A$2:$D$41,3,FALSE),"Merchant not found")</f>
        <v>grocery</v>
      </c>
      <c r="L309" t="str">
        <f>_xlfn.IFNA(VLOOKUP(C309,merchants!$A$2:$D$41,4,FALSE),"Merchant not found")</f>
        <v>West</v>
      </c>
      <c r="M309" s="2">
        <f>HLOOKUP(G309,Fees!$B$1:$E$2,2,FALSE)</f>
        <v>0.02</v>
      </c>
      <c r="N309" t="str">
        <f>IF(AND(K309&lt;&gt;"East",GETPIVOTDATA("amount_inr",'Daily Totals'!$A$4,"merchant_name",J309,"Days (transaction_time)",TEXT(D309,"dd-mmm"))&gt;5000),"High-Value Merchant Day", "Normal")</f>
        <v>Normal</v>
      </c>
    </row>
    <row r="310" spans="1:14" x14ac:dyDescent="0.3">
      <c r="A310" t="s">
        <v>323</v>
      </c>
      <c r="B310">
        <v>228</v>
      </c>
      <c r="C310">
        <v>5</v>
      </c>
      <c r="D310" s="1">
        <v>46037.474305555559</v>
      </c>
      <c r="E310" s="8">
        <f t="shared" si="4"/>
        <v>46037</v>
      </c>
      <c r="F310">
        <v>49</v>
      </c>
      <c r="G310" t="s">
        <v>12</v>
      </c>
      <c r="H310" t="s">
        <v>10</v>
      </c>
      <c r="I310">
        <v>73</v>
      </c>
      <c r="J310" t="str">
        <f>_xlfn.IFNA(VLOOKUP(C310,merchants!$A$2:$D$41,2,FALSE),"Merchant not found")</f>
        <v>Merchant_005</v>
      </c>
      <c r="K310" t="str">
        <f>_xlfn.IFNA(VLOOKUP(C310,merchants!$A$2:$D$41,3,FALSE),"Merchant not found")</f>
        <v>recharge</v>
      </c>
      <c r="L310" t="str">
        <f>_xlfn.IFNA(VLOOKUP(C310,merchants!$A$2:$D$41,4,FALSE),"Merchant not found")</f>
        <v>South</v>
      </c>
      <c r="M310" s="2">
        <f>HLOOKUP(G310,Fees!$B$1:$E$2,2,FALSE)</f>
        <v>0</v>
      </c>
      <c r="N310" t="str">
        <f>IF(AND(K310&lt;&gt;"East",GETPIVOTDATA("amount_inr",'Daily Totals'!$A$4,"merchant_name",J310,"Days (transaction_time)",TEXT(D310,"dd-mmm"))&gt;5000),"High-Value Merchant Day", "Normal")</f>
        <v>Normal</v>
      </c>
    </row>
    <row r="311" spans="1:14" x14ac:dyDescent="0.3">
      <c r="A311" t="s">
        <v>324</v>
      </c>
      <c r="B311">
        <v>204</v>
      </c>
      <c r="C311">
        <v>21</v>
      </c>
      <c r="D311" s="1">
        <v>46027.682638888888</v>
      </c>
      <c r="E311" s="8">
        <f t="shared" si="4"/>
        <v>46027</v>
      </c>
      <c r="F311">
        <v>499</v>
      </c>
      <c r="G311" t="s">
        <v>12</v>
      </c>
      <c r="H311" t="s">
        <v>10</v>
      </c>
      <c r="I311">
        <v>83</v>
      </c>
      <c r="J311" t="str">
        <f>_xlfn.IFNA(VLOOKUP(C311,merchants!$A$2:$D$41,2,FALSE),"Merchant not found")</f>
        <v>Merchant_021</v>
      </c>
      <c r="K311" t="str">
        <f>_xlfn.IFNA(VLOOKUP(C311,merchants!$A$2:$D$41,3,FALSE),"Merchant not found")</f>
        <v>food_delivery</v>
      </c>
      <c r="L311" t="str">
        <f>_xlfn.IFNA(VLOOKUP(C311,merchants!$A$2:$D$41,4,FALSE),"Merchant not found")</f>
        <v>East</v>
      </c>
      <c r="M311" s="2">
        <f>HLOOKUP(G311,Fees!$B$1:$E$2,2,FALSE)</f>
        <v>0</v>
      </c>
      <c r="N311" t="str">
        <f>IF(AND(K311&lt;&gt;"East",GETPIVOTDATA("amount_inr",'Daily Totals'!$A$4,"merchant_name",J311,"Days (transaction_time)",TEXT(D311,"dd-mmm"))&gt;5000),"High-Value Merchant Day", "Normal")</f>
        <v>Normal</v>
      </c>
    </row>
    <row r="312" spans="1:14" x14ac:dyDescent="0.3">
      <c r="A312" t="s">
        <v>325</v>
      </c>
      <c r="B312">
        <v>14</v>
      </c>
      <c r="C312">
        <v>12</v>
      </c>
      <c r="D312" s="1">
        <v>46031.296527777777</v>
      </c>
      <c r="E312" s="8">
        <f t="shared" si="4"/>
        <v>46031</v>
      </c>
      <c r="F312">
        <v>799</v>
      </c>
      <c r="G312" t="s">
        <v>15</v>
      </c>
      <c r="H312" t="s">
        <v>10</v>
      </c>
      <c r="I312">
        <v>63</v>
      </c>
      <c r="J312" t="str">
        <f>_xlfn.IFNA(VLOOKUP(C312,merchants!$A$2:$D$41,2,FALSE),"Merchant not found")</f>
        <v>Merchant_012</v>
      </c>
      <c r="K312" t="str">
        <f>_xlfn.IFNA(VLOOKUP(C312,merchants!$A$2:$D$41,3,FALSE),"Merchant not found")</f>
        <v>ecommerce</v>
      </c>
      <c r="L312" t="str">
        <f>_xlfn.IFNA(VLOOKUP(C312,merchants!$A$2:$D$41,4,FALSE),"Merchant not found")</f>
        <v>East</v>
      </c>
      <c r="M312" s="2">
        <f>HLOOKUP(G312,Fees!$B$1:$E$2,2,FALSE)</f>
        <v>0.01</v>
      </c>
      <c r="N312" t="str">
        <f>IF(AND(K312&lt;&gt;"East",GETPIVOTDATA("amount_inr",'Daily Totals'!$A$4,"merchant_name",J312,"Days (transaction_time)",TEXT(D312,"dd-mmm"))&gt;5000),"High-Value Merchant Day", "Normal")</f>
        <v>Normal</v>
      </c>
    </row>
    <row r="313" spans="1:14" x14ac:dyDescent="0.3">
      <c r="A313" t="s">
        <v>326</v>
      </c>
      <c r="B313">
        <v>288</v>
      </c>
      <c r="C313">
        <v>8</v>
      </c>
      <c r="D313" s="1">
        <v>46039.540277777778</v>
      </c>
      <c r="E313" s="8">
        <f t="shared" si="4"/>
        <v>46039</v>
      </c>
      <c r="F313">
        <v>49</v>
      </c>
      <c r="G313" t="s">
        <v>12</v>
      </c>
      <c r="H313" t="s">
        <v>10</v>
      </c>
      <c r="I313">
        <v>33</v>
      </c>
      <c r="J313" t="str">
        <f>_xlfn.IFNA(VLOOKUP(C313,merchants!$A$2:$D$41,2,FALSE),"Merchant not found")</f>
        <v>Merchant_008</v>
      </c>
      <c r="K313" t="str">
        <f>_xlfn.IFNA(VLOOKUP(C313,merchants!$A$2:$D$41,3,FALSE),"Merchant not found")</f>
        <v>food_delivery</v>
      </c>
      <c r="L313" t="str">
        <f>_xlfn.IFNA(VLOOKUP(C313,merchants!$A$2:$D$41,4,FALSE),"Merchant not found")</f>
        <v>North</v>
      </c>
      <c r="M313" s="2">
        <f>HLOOKUP(G313,Fees!$B$1:$E$2,2,FALSE)</f>
        <v>0</v>
      </c>
      <c r="N313" t="str">
        <f>IF(AND(K313&lt;&gt;"East",GETPIVOTDATA("amount_inr",'Daily Totals'!$A$4,"merchant_name",J313,"Days (transaction_time)",TEXT(D313,"dd-mmm"))&gt;5000),"High-Value Merchant Day", "Normal")</f>
        <v>Normal</v>
      </c>
    </row>
    <row r="314" spans="1:14" x14ac:dyDescent="0.3">
      <c r="A314" t="s">
        <v>327</v>
      </c>
      <c r="B314">
        <v>229</v>
      </c>
      <c r="C314">
        <v>14</v>
      </c>
      <c r="D314" s="1">
        <v>46047.364583333336</v>
      </c>
      <c r="E314" s="8">
        <f t="shared" si="4"/>
        <v>46047</v>
      </c>
      <c r="F314">
        <v>1499</v>
      </c>
      <c r="G314" t="s">
        <v>12</v>
      </c>
      <c r="H314" t="s">
        <v>10</v>
      </c>
      <c r="I314">
        <v>78</v>
      </c>
      <c r="J314" t="str">
        <f>_xlfn.IFNA(VLOOKUP(C314,merchants!$A$2:$D$41,2,FALSE),"Merchant not found")</f>
        <v>Merchant_014</v>
      </c>
      <c r="K314" t="str">
        <f>_xlfn.IFNA(VLOOKUP(C314,merchants!$A$2:$D$41,3,FALSE),"Merchant not found")</f>
        <v>grocery</v>
      </c>
      <c r="L314" t="str">
        <f>_xlfn.IFNA(VLOOKUP(C314,merchants!$A$2:$D$41,4,FALSE),"Merchant not found")</f>
        <v>East</v>
      </c>
      <c r="M314" s="2">
        <f>HLOOKUP(G314,Fees!$B$1:$E$2,2,FALSE)</f>
        <v>0</v>
      </c>
      <c r="N314" t="str">
        <f>IF(AND(K314&lt;&gt;"East",GETPIVOTDATA("amount_inr",'Daily Totals'!$A$4,"merchant_name",J314,"Days (transaction_time)",TEXT(D314,"dd-mmm"))&gt;5000),"High-Value Merchant Day", "Normal")</f>
        <v>Normal</v>
      </c>
    </row>
    <row r="315" spans="1:14" x14ac:dyDescent="0.3">
      <c r="A315" t="s">
        <v>328</v>
      </c>
      <c r="B315">
        <v>252</v>
      </c>
      <c r="C315">
        <v>13</v>
      </c>
      <c r="D315" s="1">
        <v>46032.956944444442</v>
      </c>
      <c r="E315" s="8">
        <f t="shared" si="4"/>
        <v>46032</v>
      </c>
      <c r="F315">
        <v>99</v>
      </c>
      <c r="G315" t="s">
        <v>9</v>
      </c>
      <c r="H315" t="s">
        <v>10</v>
      </c>
      <c r="I315">
        <v>15</v>
      </c>
      <c r="J315" t="str">
        <f>_xlfn.IFNA(VLOOKUP(C315,merchants!$A$2:$D$41,2,FALSE),"Merchant not found")</f>
        <v>Merchant_013</v>
      </c>
      <c r="K315" t="str">
        <f>_xlfn.IFNA(VLOOKUP(C315,merchants!$A$2:$D$41,3,FALSE),"Merchant not found")</f>
        <v>travel</v>
      </c>
      <c r="L315" t="str">
        <f>_xlfn.IFNA(VLOOKUP(C315,merchants!$A$2:$D$41,4,FALSE),"Merchant not found")</f>
        <v>East</v>
      </c>
      <c r="M315" s="2">
        <f>HLOOKUP(G315,Fees!$B$1:$E$2,2,FALSE)</f>
        <v>1.4999999999999999E-2</v>
      </c>
      <c r="N315" t="str">
        <f>IF(AND(K315&lt;&gt;"East",GETPIVOTDATA("amount_inr",'Daily Totals'!$A$4,"merchant_name",J315,"Days (transaction_time)",TEXT(D315,"dd-mmm"))&gt;5000),"High-Value Merchant Day", "Normal")</f>
        <v>Normal</v>
      </c>
    </row>
    <row r="316" spans="1:14" x14ac:dyDescent="0.3">
      <c r="A316" t="s">
        <v>329</v>
      </c>
      <c r="B316">
        <v>89</v>
      </c>
      <c r="C316">
        <v>29</v>
      </c>
      <c r="D316" s="1">
        <v>46027.102777777778</v>
      </c>
      <c r="E316" s="8">
        <f t="shared" si="4"/>
        <v>46027</v>
      </c>
      <c r="F316">
        <v>799</v>
      </c>
      <c r="G316" t="s">
        <v>12</v>
      </c>
      <c r="H316" t="s">
        <v>10</v>
      </c>
      <c r="I316">
        <v>11</v>
      </c>
      <c r="J316" t="str">
        <f>_xlfn.IFNA(VLOOKUP(C316,merchants!$A$2:$D$41,2,FALSE),"Merchant not found")</f>
        <v>Merchant_029</v>
      </c>
      <c r="K316" t="str">
        <f>_xlfn.IFNA(VLOOKUP(C316,merchants!$A$2:$D$41,3,FALSE),"Merchant not found")</f>
        <v>ecommerce</v>
      </c>
      <c r="L316" t="str">
        <f>_xlfn.IFNA(VLOOKUP(C316,merchants!$A$2:$D$41,4,FALSE),"Merchant not found")</f>
        <v>North</v>
      </c>
      <c r="M316" s="2">
        <f>HLOOKUP(G316,Fees!$B$1:$E$2,2,FALSE)</f>
        <v>0</v>
      </c>
      <c r="N316" t="str">
        <f>IF(AND(K316&lt;&gt;"East",GETPIVOTDATA("amount_inr",'Daily Totals'!$A$4,"merchant_name",J316,"Days (transaction_time)",TEXT(D316,"dd-mmm"))&gt;5000),"High-Value Merchant Day", "Normal")</f>
        <v>Normal</v>
      </c>
    </row>
    <row r="317" spans="1:14" x14ac:dyDescent="0.3">
      <c r="A317" t="s">
        <v>330</v>
      </c>
      <c r="B317">
        <v>164</v>
      </c>
      <c r="C317">
        <v>23</v>
      </c>
      <c r="D317" s="1">
        <v>46048.912499999999</v>
      </c>
      <c r="E317" s="8">
        <f t="shared" si="4"/>
        <v>46048</v>
      </c>
      <c r="F317">
        <v>49</v>
      </c>
      <c r="G317" t="s">
        <v>15</v>
      </c>
      <c r="H317" t="s">
        <v>10</v>
      </c>
      <c r="I317">
        <v>90</v>
      </c>
      <c r="J317" t="str">
        <f>_xlfn.IFNA(VLOOKUP(C317,merchants!$A$2:$D$41,2,FALSE),"Merchant not found")</f>
        <v>Merchant_023</v>
      </c>
      <c r="K317" t="str">
        <f>_xlfn.IFNA(VLOOKUP(C317,merchants!$A$2:$D$41,3,FALSE),"Merchant not found")</f>
        <v>travel</v>
      </c>
      <c r="L317" t="str">
        <f>_xlfn.IFNA(VLOOKUP(C317,merchants!$A$2:$D$41,4,FALSE),"Merchant not found")</f>
        <v>North</v>
      </c>
      <c r="M317" s="2">
        <f>HLOOKUP(G317,Fees!$B$1:$E$2,2,FALSE)</f>
        <v>0.01</v>
      </c>
      <c r="N317" t="str">
        <f>IF(AND(K317&lt;&gt;"East",GETPIVOTDATA("amount_inr",'Daily Totals'!$A$4,"merchant_name",J317,"Days (transaction_time)",TEXT(D317,"dd-mmm"))&gt;5000),"High-Value Merchant Day", "Normal")</f>
        <v>Normal</v>
      </c>
    </row>
    <row r="318" spans="1:14" x14ac:dyDescent="0.3">
      <c r="A318" t="s">
        <v>331</v>
      </c>
      <c r="B318">
        <v>149</v>
      </c>
      <c r="C318">
        <v>20</v>
      </c>
      <c r="D318" s="1">
        <v>46025.731944444444</v>
      </c>
      <c r="E318" s="8">
        <f t="shared" si="4"/>
        <v>46025</v>
      </c>
      <c r="F318">
        <v>299</v>
      </c>
      <c r="G318" t="s">
        <v>9</v>
      </c>
      <c r="H318" t="s">
        <v>10</v>
      </c>
      <c r="I318">
        <v>20</v>
      </c>
      <c r="J318" t="str">
        <f>_xlfn.IFNA(VLOOKUP(C318,merchants!$A$2:$D$41,2,FALSE),"Merchant not found")</f>
        <v>Merchant_020</v>
      </c>
      <c r="K318" t="str">
        <f>_xlfn.IFNA(VLOOKUP(C318,merchants!$A$2:$D$41,3,FALSE),"Merchant not found")</f>
        <v>food_delivery</v>
      </c>
      <c r="L318" t="str">
        <f>_xlfn.IFNA(VLOOKUP(C318,merchants!$A$2:$D$41,4,FALSE),"Merchant not found")</f>
        <v>East</v>
      </c>
      <c r="M318" s="2">
        <f>HLOOKUP(G318,Fees!$B$1:$E$2,2,FALSE)</f>
        <v>1.4999999999999999E-2</v>
      </c>
      <c r="N318" t="str">
        <f>IF(AND(K318&lt;&gt;"East",GETPIVOTDATA("amount_inr",'Daily Totals'!$A$4,"merchant_name",J318,"Days (transaction_time)",TEXT(D318,"dd-mmm"))&gt;5000),"High-Value Merchant Day", "Normal")</f>
        <v>Normal</v>
      </c>
    </row>
    <row r="319" spans="1:14" x14ac:dyDescent="0.3">
      <c r="A319" t="s">
        <v>332</v>
      </c>
      <c r="B319">
        <v>327</v>
      </c>
      <c r="C319">
        <v>12</v>
      </c>
      <c r="D319" s="1">
        <v>46045.957638888889</v>
      </c>
      <c r="E319" s="8">
        <f t="shared" si="4"/>
        <v>46045</v>
      </c>
      <c r="F319">
        <v>49</v>
      </c>
      <c r="G319" t="s">
        <v>15</v>
      </c>
      <c r="H319" t="s">
        <v>10</v>
      </c>
      <c r="I319">
        <v>46</v>
      </c>
      <c r="J319" t="str">
        <f>_xlfn.IFNA(VLOOKUP(C319,merchants!$A$2:$D$41,2,FALSE),"Merchant not found")</f>
        <v>Merchant_012</v>
      </c>
      <c r="K319" t="str">
        <f>_xlfn.IFNA(VLOOKUP(C319,merchants!$A$2:$D$41,3,FALSE),"Merchant not found")</f>
        <v>ecommerce</v>
      </c>
      <c r="L319" t="str">
        <f>_xlfn.IFNA(VLOOKUP(C319,merchants!$A$2:$D$41,4,FALSE),"Merchant not found")</f>
        <v>East</v>
      </c>
      <c r="M319" s="2">
        <f>HLOOKUP(G319,Fees!$B$1:$E$2,2,FALSE)</f>
        <v>0.01</v>
      </c>
      <c r="N319" t="str">
        <f>IF(AND(K319&lt;&gt;"East",GETPIVOTDATA("amount_inr",'Daily Totals'!$A$4,"merchant_name",J319,"Days (transaction_time)",TEXT(D319,"dd-mmm"))&gt;5000),"High-Value Merchant Day", "Normal")</f>
        <v>Normal</v>
      </c>
    </row>
    <row r="320" spans="1:14" x14ac:dyDescent="0.3">
      <c r="A320" t="s">
        <v>333</v>
      </c>
      <c r="B320">
        <v>103</v>
      </c>
      <c r="C320">
        <v>9</v>
      </c>
      <c r="D320" s="1">
        <v>46039.296527777777</v>
      </c>
      <c r="E320" s="8">
        <f t="shared" si="4"/>
        <v>46039</v>
      </c>
      <c r="F320">
        <v>149</v>
      </c>
      <c r="G320" t="s">
        <v>12</v>
      </c>
      <c r="H320" t="s">
        <v>10</v>
      </c>
      <c r="I320">
        <v>30</v>
      </c>
      <c r="J320" t="str">
        <f>_xlfn.IFNA(VLOOKUP(C320,merchants!$A$2:$D$41,2,FALSE),"Merchant not found")</f>
        <v>Merchant_009</v>
      </c>
      <c r="K320" t="str">
        <f>_xlfn.IFNA(VLOOKUP(C320,merchants!$A$2:$D$41,3,FALSE),"Merchant not found")</f>
        <v>ecommerce</v>
      </c>
      <c r="L320" t="str">
        <f>_xlfn.IFNA(VLOOKUP(C320,merchants!$A$2:$D$41,4,FALSE),"Merchant not found")</f>
        <v>North</v>
      </c>
      <c r="M320" s="2">
        <f>HLOOKUP(G320,Fees!$B$1:$E$2,2,FALSE)</f>
        <v>0</v>
      </c>
      <c r="N320" t="str">
        <f>IF(AND(K320&lt;&gt;"East",GETPIVOTDATA("amount_inr",'Daily Totals'!$A$4,"merchant_name",J320,"Days (transaction_time)",TEXT(D320,"dd-mmm"))&gt;5000),"High-Value Merchant Day", "Normal")</f>
        <v>Normal</v>
      </c>
    </row>
    <row r="321" spans="1:14" x14ac:dyDescent="0.3">
      <c r="A321" t="s">
        <v>334</v>
      </c>
      <c r="B321">
        <v>185</v>
      </c>
      <c r="C321">
        <v>36</v>
      </c>
      <c r="D321" s="1">
        <v>46048.625694444447</v>
      </c>
      <c r="E321" s="8">
        <f t="shared" si="4"/>
        <v>46048</v>
      </c>
      <c r="F321">
        <v>49</v>
      </c>
      <c r="G321" t="s">
        <v>9</v>
      </c>
      <c r="H321" t="s">
        <v>10</v>
      </c>
      <c r="I321">
        <v>73</v>
      </c>
      <c r="J321" t="str">
        <f>_xlfn.IFNA(VLOOKUP(C321,merchants!$A$2:$D$41,2,FALSE),"Merchant not found")</f>
        <v>Merchant_036</v>
      </c>
      <c r="K321" t="str">
        <f>_xlfn.IFNA(VLOOKUP(C321,merchants!$A$2:$D$41,3,FALSE),"Merchant not found")</f>
        <v>entertainment</v>
      </c>
      <c r="L321" t="str">
        <f>_xlfn.IFNA(VLOOKUP(C321,merchants!$A$2:$D$41,4,FALSE),"Merchant not found")</f>
        <v>East</v>
      </c>
      <c r="M321" s="2">
        <f>HLOOKUP(G321,Fees!$B$1:$E$2,2,FALSE)</f>
        <v>1.4999999999999999E-2</v>
      </c>
      <c r="N321" t="str">
        <f>IF(AND(K321&lt;&gt;"East",GETPIVOTDATA("amount_inr",'Daily Totals'!$A$4,"merchant_name",J321,"Days (transaction_time)",TEXT(D321,"dd-mmm"))&gt;5000),"High-Value Merchant Day", "Normal")</f>
        <v>Normal</v>
      </c>
    </row>
    <row r="322" spans="1:14" x14ac:dyDescent="0.3">
      <c r="A322" t="s">
        <v>335</v>
      </c>
      <c r="B322">
        <v>283</v>
      </c>
      <c r="C322">
        <v>9</v>
      </c>
      <c r="D322" s="1">
        <v>46034.618750000001</v>
      </c>
      <c r="E322" s="8">
        <f t="shared" si="4"/>
        <v>46034</v>
      </c>
      <c r="F322">
        <v>299</v>
      </c>
      <c r="G322" t="s">
        <v>12</v>
      </c>
      <c r="H322" t="s">
        <v>10</v>
      </c>
      <c r="I322">
        <v>78</v>
      </c>
      <c r="J322" t="str">
        <f>_xlfn.IFNA(VLOOKUP(C322,merchants!$A$2:$D$41,2,FALSE),"Merchant not found")</f>
        <v>Merchant_009</v>
      </c>
      <c r="K322" t="str">
        <f>_xlfn.IFNA(VLOOKUP(C322,merchants!$A$2:$D$41,3,FALSE),"Merchant not found")</f>
        <v>ecommerce</v>
      </c>
      <c r="L322" t="str">
        <f>_xlfn.IFNA(VLOOKUP(C322,merchants!$A$2:$D$41,4,FALSE),"Merchant not found")</f>
        <v>North</v>
      </c>
      <c r="M322" s="2">
        <f>HLOOKUP(G322,Fees!$B$1:$E$2,2,FALSE)</f>
        <v>0</v>
      </c>
      <c r="N322" t="str">
        <f>IF(AND(K322&lt;&gt;"East",GETPIVOTDATA("amount_inr",'Daily Totals'!$A$4,"merchant_name",J322,"Days (transaction_time)",TEXT(D322,"dd-mmm"))&gt;5000),"High-Value Merchant Day", "Normal")</f>
        <v>Normal</v>
      </c>
    </row>
    <row r="323" spans="1:14" x14ac:dyDescent="0.3">
      <c r="A323" t="s">
        <v>336</v>
      </c>
      <c r="B323">
        <v>159</v>
      </c>
      <c r="C323">
        <v>26</v>
      </c>
      <c r="D323" s="1">
        <v>46051.086111111108</v>
      </c>
      <c r="E323" s="8">
        <f t="shared" ref="E323:E386" si="5">INT(D323)</f>
        <v>46051</v>
      </c>
      <c r="F323">
        <v>99</v>
      </c>
      <c r="G323" t="s">
        <v>12</v>
      </c>
      <c r="H323" t="s">
        <v>10</v>
      </c>
      <c r="I323">
        <v>91</v>
      </c>
      <c r="J323" t="str">
        <f>_xlfn.IFNA(VLOOKUP(C323,merchants!$A$2:$D$41,2,FALSE),"Merchant not found")</f>
        <v>Merchant_026</v>
      </c>
      <c r="K323" t="str">
        <f>_xlfn.IFNA(VLOOKUP(C323,merchants!$A$2:$D$41,3,FALSE),"Merchant not found")</f>
        <v>food_delivery</v>
      </c>
      <c r="L323" t="str">
        <f>_xlfn.IFNA(VLOOKUP(C323,merchants!$A$2:$D$41,4,FALSE),"Merchant not found")</f>
        <v>East</v>
      </c>
      <c r="M323" s="2">
        <f>HLOOKUP(G323,Fees!$B$1:$E$2,2,FALSE)</f>
        <v>0</v>
      </c>
      <c r="N323" t="str">
        <f>IF(AND(K323&lt;&gt;"East",GETPIVOTDATA("amount_inr",'Daily Totals'!$A$4,"merchant_name",J323,"Days (transaction_time)",TEXT(D323,"dd-mmm"))&gt;5000),"High-Value Merchant Day", "Normal")</f>
        <v>Normal</v>
      </c>
    </row>
    <row r="324" spans="1:14" x14ac:dyDescent="0.3">
      <c r="A324" t="s">
        <v>337</v>
      </c>
      <c r="B324">
        <v>211</v>
      </c>
      <c r="C324">
        <v>27</v>
      </c>
      <c r="D324" s="1">
        <v>46046.647916666669</v>
      </c>
      <c r="E324" s="8">
        <f t="shared" si="5"/>
        <v>46046</v>
      </c>
      <c r="F324">
        <v>99</v>
      </c>
      <c r="G324" t="s">
        <v>9</v>
      </c>
      <c r="H324" t="s">
        <v>10</v>
      </c>
      <c r="I324">
        <v>73</v>
      </c>
      <c r="J324" t="str">
        <f>_xlfn.IFNA(VLOOKUP(C324,merchants!$A$2:$D$41,2,FALSE),"Merchant not found")</f>
        <v>Merchant_027</v>
      </c>
      <c r="K324" t="str">
        <f>_xlfn.IFNA(VLOOKUP(C324,merchants!$A$2:$D$41,3,FALSE),"Merchant not found")</f>
        <v>ecommerce</v>
      </c>
      <c r="L324" t="str">
        <f>_xlfn.IFNA(VLOOKUP(C324,merchants!$A$2:$D$41,4,FALSE),"Merchant not found")</f>
        <v>North</v>
      </c>
      <c r="M324" s="2">
        <f>HLOOKUP(G324,Fees!$B$1:$E$2,2,FALSE)</f>
        <v>1.4999999999999999E-2</v>
      </c>
      <c r="N324" t="str">
        <f>IF(AND(K324&lt;&gt;"East",GETPIVOTDATA("amount_inr",'Daily Totals'!$A$4,"merchant_name",J324,"Days (transaction_time)",TEXT(D324,"dd-mmm"))&gt;5000),"High-Value Merchant Day", "Normal")</f>
        <v>Normal</v>
      </c>
    </row>
    <row r="325" spans="1:14" x14ac:dyDescent="0.3">
      <c r="A325" t="s">
        <v>338</v>
      </c>
      <c r="B325">
        <v>329</v>
      </c>
      <c r="C325">
        <v>5</v>
      </c>
      <c r="D325" s="1">
        <v>46025.180555555555</v>
      </c>
      <c r="E325" s="8">
        <f t="shared" si="5"/>
        <v>46025</v>
      </c>
      <c r="F325">
        <v>499</v>
      </c>
      <c r="G325" t="s">
        <v>15</v>
      </c>
      <c r="H325" t="s">
        <v>10</v>
      </c>
      <c r="I325">
        <v>57</v>
      </c>
      <c r="J325" t="str">
        <f>_xlfn.IFNA(VLOOKUP(C325,merchants!$A$2:$D$41,2,FALSE),"Merchant not found")</f>
        <v>Merchant_005</v>
      </c>
      <c r="K325" t="str">
        <f>_xlfn.IFNA(VLOOKUP(C325,merchants!$A$2:$D$41,3,FALSE),"Merchant not found")</f>
        <v>recharge</v>
      </c>
      <c r="L325" t="str">
        <f>_xlfn.IFNA(VLOOKUP(C325,merchants!$A$2:$D$41,4,FALSE),"Merchant not found")</f>
        <v>South</v>
      </c>
      <c r="M325" s="2">
        <f>HLOOKUP(G325,Fees!$B$1:$E$2,2,FALSE)</f>
        <v>0.01</v>
      </c>
      <c r="N325" t="str">
        <f>IF(AND(K325&lt;&gt;"East",GETPIVOTDATA("amount_inr",'Daily Totals'!$A$4,"merchant_name",J325,"Days (transaction_time)",TEXT(D325,"dd-mmm"))&gt;5000),"High-Value Merchant Day", "Normal")</f>
        <v>Normal</v>
      </c>
    </row>
    <row r="326" spans="1:14" x14ac:dyDescent="0.3">
      <c r="A326" t="s">
        <v>339</v>
      </c>
      <c r="B326">
        <v>177</v>
      </c>
      <c r="C326">
        <v>9</v>
      </c>
      <c r="D326" s="1">
        <v>46037.897916666669</v>
      </c>
      <c r="E326" s="8">
        <f t="shared" si="5"/>
        <v>46037</v>
      </c>
      <c r="F326">
        <v>99</v>
      </c>
      <c r="G326" t="s">
        <v>12</v>
      </c>
      <c r="H326" t="s">
        <v>10</v>
      </c>
      <c r="I326">
        <v>99</v>
      </c>
      <c r="J326" t="str">
        <f>_xlfn.IFNA(VLOOKUP(C326,merchants!$A$2:$D$41,2,FALSE),"Merchant not found")</f>
        <v>Merchant_009</v>
      </c>
      <c r="K326" t="str">
        <f>_xlfn.IFNA(VLOOKUP(C326,merchants!$A$2:$D$41,3,FALSE),"Merchant not found")</f>
        <v>ecommerce</v>
      </c>
      <c r="L326" t="str">
        <f>_xlfn.IFNA(VLOOKUP(C326,merchants!$A$2:$D$41,4,FALSE),"Merchant not found")</f>
        <v>North</v>
      </c>
      <c r="M326" s="2">
        <f>HLOOKUP(G326,Fees!$B$1:$E$2,2,FALSE)</f>
        <v>0</v>
      </c>
      <c r="N326" t="str">
        <f>IF(AND(K326&lt;&gt;"East",GETPIVOTDATA("amount_inr",'Daily Totals'!$A$4,"merchant_name",J326,"Days (transaction_time)",TEXT(D326,"dd-mmm"))&gt;5000),"High-Value Merchant Day", "Normal")</f>
        <v>Normal</v>
      </c>
    </row>
    <row r="327" spans="1:14" x14ac:dyDescent="0.3">
      <c r="A327" t="s">
        <v>340</v>
      </c>
      <c r="B327">
        <v>94</v>
      </c>
      <c r="C327">
        <v>9</v>
      </c>
      <c r="D327" s="1">
        <v>46040.859027777777</v>
      </c>
      <c r="E327" s="8">
        <f t="shared" si="5"/>
        <v>46040</v>
      </c>
      <c r="F327">
        <v>299</v>
      </c>
      <c r="G327" t="s">
        <v>12</v>
      </c>
      <c r="H327" t="s">
        <v>10</v>
      </c>
      <c r="I327">
        <v>55</v>
      </c>
      <c r="J327" t="str">
        <f>_xlfn.IFNA(VLOOKUP(C327,merchants!$A$2:$D$41,2,FALSE),"Merchant not found")</f>
        <v>Merchant_009</v>
      </c>
      <c r="K327" t="str">
        <f>_xlfn.IFNA(VLOOKUP(C327,merchants!$A$2:$D$41,3,FALSE),"Merchant not found")</f>
        <v>ecommerce</v>
      </c>
      <c r="L327" t="str">
        <f>_xlfn.IFNA(VLOOKUP(C327,merchants!$A$2:$D$41,4,FALSE),"Merchant not found")</f>
        <v>North</v>
      </c>
      <c r="M327" s="2">
        <f>HLOOKUP(G327,Fees!$B$1:$E$2,2,FALSE)</f>
        <v>0</v>
      </c>
      <c r="N327" t="str">
        <f>IF(AND(K327&lt;&gt;"East",GETPIVOTDATA("amount_inr",'Daily Totals'!$A$4,"merchant_name",J327,"Days (transaction_time)",TEXT(D327,"dd-mmm"))&gt;5000),"High-Value Merchant Day", "Normal")</f>
        <v>Normal</v>
      </c>
    </row>
    <row r="328" spans="1:14" x14ac:dyDescent="0.3">
      <c r="A328" t="s">
        <v>341</v>
      </c>
      <c r="B328">
        <v>64</v>
      </c>
      <c r="C328">
        <v>34</v>
      </c>
      <c r="D328" s="1">
        <v>46039.078472222223</v>
      </c>
      <c r="E328" s="8">
        <f t="shared" si="5"/>
        <v>46039</v>
      </c>
      <c r="F328">
        <v>299</v>
      </c>
      <c r="G328" t="s">
        <v>12</v>
      </c>
      <c r="H328" t="s">
        <v>10</v>
      </c>
      <c r="I328">
        <v>19</v>
      </c>
      <c r="J328" t="str">
        <f>_xlfn.IFNA(VLOOKUP(C328,merchants!$A$2:$D$41,2,FALSE),"Merchant not found")</f>
        <v>Merchant_034</v>
      </c>
      <c r="K328" t="str">
        <f>_xlfn.IFNA(VLOOKUP(C328,merchants!$A$2:$D$41,3,FALSE),"Merchant not found")</f>
        <v>travel</v>
      </c>
      <c r="L328" t="str">
        <f>_xlfn.IFNA(VLOOKUP(C328,merchants!$A$2:$D$41,4,FALSE),"Merchant not found")</f>
        <v>South</v>
      </c>
      <c r="M328" s="2">
        <f>HLOOKUP(G328,Fees!$B$1:$E$2,2,FALSE)</f>
        <v>0</v>
      </c>
      <c r="N328" t="str">
        <f>IF(AND(K328&lt;&gt;"East",GETPIVOTDATA("amount_inr",'Daily Totals'!$A$4,"merchant_name",J328,"Days (transaction_time)",TEXT(D328,"dd-mmm"))&gt;5000),"High-Value Merchant Day", "Normal")</f>
        <v>Normal</v>
      </c>
    </row>
    <row r="329" spans="1:14" x14ac:dyDescent="0.3">
      <c r="A329" t="s">
        <v>342</v>
      </c>
      <c r="B329">
        <v>166</v>
      </c>
      <c r="C329">
        <v>15</v>
      </c>
      <c r="D329" s="1">
        <v>46032.215277777781</v>
      </c>
      <c r="E329" s="8">
        <f t="shared" si="5"/>
        <v>46032</v>
      </c>
      <c r="F329">
        <v>49</v>
      </c>
      <c r="G329" t="s">
        <v>12</v>
      </c>
      <c r="H329" t="s">
        <v>10</v>
      </c>
      <c r="I329">
        <v>44</v>
      </c>
      <c r="J329" t="str">
        <f>_xlfn.IFNA(VLOOKUP(C329,merchants!$A$2:$D$41,2,FALSE),"Merchant not found")</f>
        <v>Merchant_015</v>
      </c>
      <c r="K329" t="str">
        <f>_xlfn.IFNA(VLOOKUP(C329,merchants!$A$2:$D$41,3,FALSE),"Merchant not found")</f>
        <v>travel</v>
      </c>
      <c r="L329" t="str">
        <f>_xlfn.IFNA(VLOOKUP(C329,merchants!$A$2:$D$41,4,FALSE),"Merchant not found")</f>
        <v>North</v>
      </c>
      <c r="M329" s="2">
        <f>HLOOKUP(G329,Fees!$B$1:$E$2,2,FALSE)</f>
        <v>0</v>
      </c>
      <c r="N329" t="str">
        <f>IF(AND(K329&lt;&gt;"East",GETPIVOTDATA("amount_inr",'Daily Totals'!$A$4,"merchant_name",J329,"Days (transaction_time)",TEXT(D329,"dd-mmm"))&gt;5000),"High-Value Merchant Day", "Normal")</f>
        <v>Normal</v>
      </c>
    </row>
    <row r="330" spans="1:14" x14ac:dyDescent="0.3">
      <c r="A330" t="s">
        <v>343</v>
      </c>
      <c r="B330">
        <v>41</v>
      </c>
      <c r="C330">
        <v>17</v>
      </c>
      <c r="D330" s="1">
        <v>46039.412499999999</v>
      </c>
      <c r="E330" s="8">
        <f t="shared" si="5"/>
        <v>46039</v>
      </c>
      <c r="F330">
        <v>299</v>
      </c>
      <c r="G330" t="s">
        <v>9</v>
      </c>
      <c r="H330" t="s">
        <v>10</v>
      </c>
      <c r="I330">
        <v>25</v>
      </c>
      <c r="J330" t="str">
        <f>_xlfn.IFNA(VLOOKUP(C330,merchants!$A$2:$D$41,2,FALSE),"Merchant not found")</f>
        <v>Merchant_017</v>
      </c>
      <c r="K330" t="str">
        <f>_xlfn.IFNA(VLOOKUP(C330,merchants!$A$2:$D$41,3,FALSE),"Merchant not found")</f>
        <v>grocery</v>
      </c>
      <c r="L330" t="str">
        <f>_xlfn.IFNA(VLOOKUP(C330,merchants!$A$2:$D$41,4,FALSE),"Merchant not found")</f>
        <v>North</v>
      </c>
      <c r="M330" s="2">
        <f>HLOOKUP(G330,Fees!$B$1:$E$2,2,FALSE)</f>
        <v>1.4999999999999999E-2</v>
      </c>
      <c r="N330" t="str">
        <f>IF(AND(K330&lt;&gt;"East",GETPIVOTDATA("amount_inr",'Daily Totals'!$A$4,"merchant_name",J330,"Days (transaction_time)",TEXT(D330,"dd-mmm"))&gt;5000),"High-Value Merchant Day", "Normal")</f>
        <v>Normal</v>
      </c>
    </row>
    <row r="331" spans="1:14" x14ac:dyDescent="0.3">
      <c r="A331" t="s">
        <v>344</v>
      </c>
      <c r="B331">
        <v>65</v>
      </c>
      <c r="C331">
        <v>20</v>
      </c>
      <c r="D331" s="1">
        <v>46043.720138888886</v>
      </c>
      <c r="E331" s="8">
        <f t="shared" si="5"/>
        <v>46043</v>
      </c>
      <c r="F331">
        <v>99</v>
      </c>
      <c r="G331" t="s">
        <v>24</v>
      </c>
      <c r="H331" t="s">
        <v>10</v>
      </c>
      <c r="I331">
        <v>78</v>
      </c>
      <c r="J331" t="str">
        <f>_xlfn.IFNA(VLOOKUP(C331,merchants!$A$2:$D$41,2,FALSE),"Merchant not found")</f>
        <v>Merchant_020</v>
      </c>
      <c r="K331" t="str">
        <f>_xlfn.IFNA(VLOOKUP(C331,merchants!$A$2:$D$41,3,FALSE),"Merchant not found")</f>
        <v>food_delivery</v>
      </c>
      <c r="L331" t="str">
        <f>_xlfn.IFNA(VLOOKUP(C331,merchants!$A$2:$D$41,4,FALSE),"Merchant not found")</f>
        <v>East</v>
      </c>
      <c r="M331" s="2">
        <f>HLOOKUP(G331,Fees!$B$1:$E$2,2,FALSE)</f>
        <v>0.02</v>
      </c>
      <c r="N331" t="str">
        <f>IF(AND(K331&lt;&gt;"East",GETPIVOTDATA("amount_inr",'Daily Totals'!$A$4,"merchant_name",J331,"Days (transaction_time)",TEXT(D331,"dd-mmm"))&gt;5000),"High-Value Merchant Day", "Normal")</f>
        <v>Normal</v>
      </c>
    </row>
    <row r="332" spans="1:14" x14ac:dyDescent="0.3">
      <c r="A332" t="s">
        <v>345</v>
      </c>
      <c r="B332">
        <v>329</v>
      </c>
      <c r="C332">
        <v>11</v>
      </c>
      <c r="D332" s="1">
        <v>46040.105555555558</v>
      </c>
      <c r="E332" s="8">
        <f t="shared" si="5"/>
        <v>46040</v>
      </c>
      <c r="F332">
        <v>499</v>
      </c>
      <c r="G332" t="s">
        <v>12</v>
      </c>
      <c r="H332" t="s">
        <v>10</v>
      </c>
      <c r="I332">
        <v>75</v>
      </c>
      <c r="J332" t="str">
        <f>_xlfn.IFNA(VLOOKUP(C332,merchants!$A$2:$D$41,2,FALSE),"Merchant not found")</f>
        <v>Merchant_011</v>
      </c>
      <c r="K332" t="str">
        <f>_xlfn.IFNA(VLOOKUP(C332,merchants!$A$2:$D$41,3,FALSE),"Merchant not found")</f>
        <v>ecommerce</v>
      </c>
      <c r="L332" t="str">
        <f>_xlfn.IFNA(VLOOKUP(C332,merchants!$A$2:$D$41,4,FALSE),"Merchant not found")</f>
        <v>North</v>
      </c>
      <c r="M332" s="2">
        <f>HLOOKUP(G332,Fees!$B$1:$E$2,2,FALSE)</f>
        <v>0</v>
      </c>
      <c r="N332" t="str">
        <f>IF(AND(K332&lt;&gt;"East",GETPIVOTDATA("amount_inr",'Daily Totals'!$A$4,"merchant_name",J332,"Days (transaction_time)",TEXT(D332,"dd-mmm"))&gt;5000),"High-Value Merchant Day", "Normal")</f>
        <v>Normal</v>
      </c>
    </row>
    <row r="333" spans="1:14" x14ac:dyDescent="0.3">
      <c r="A333" t="s">
        <v>346</v>
      </c>
      <c r="B333">
        <v>338</v>
      </c>
      <c r="C333">
        <v>40</v>
      </c>
      <c r="D333" s="1">
        <v>46041.173611111109</v>
      </c>
      <c r="E333" s="8">
        <f t="shared" si="5"/>
        <v>46041</v>
      </c>
      <c r="F333">
        <v>149</v>
      </c>
      <c r="G333" t="s">
        <v>12</v>
      </c>
      <c r="H333" t="s">
        <v>10</v>
      </c>
      <c r="I333">
        <v>92</v>
      </c>
      <c r="J333" t="str">
        <f>_xlfn.IFNA(VLOOKUP(C333,merchants!$A$2:$D$41,2,FALSE),"Merchant not found")</f>
        <v>Merchant_040</v>
      </c>
      <c r="K333" t="str">
        <f>_xlfn.IFNA(VLOOKUP(C333,merchants!$A$2:$D$41,3,FALSE),"Merchant not found")</f>
        <v>entertainment</v>
      </c>
      <c r="L333" t="str">
        <f>_xlfn.IFNA(VLOOKUP(C333,merchants!$A$2:$D$41,4,FALSE),"Merchant not found")</f>
        <v>South</v>
      </c>
      <c r="M333" s="2">
        <f>HLOOKUP(G333,Fees!$B$1:$E$2,2,FALSE)</f>
        <v>0</v>
      </c>
      <c r="N333" t="str">
        <f>IF(AND(K333&lt;&gt;"East",GETPIVOTDATA("amount_inr",'Daily Totals'!$A$4,"merchant_name",J333,"Days (transaction_time)",TEXT(D333,"dd-mmm"))&gt;5000),"High-Value Merchant Day", "Normal")</f>
        <v>Normal</v>
      </c>
    </row>
    <row r="334" spans="1:14" x14ac:dyDescent="0.3">
      <c r="A334" t="s">
        <v>347</v>
      </c>
      <c r="B334">
        <v>289</v>
      </c>
      <c r="C334">
        <v>3</v>
      </c>
      <c r="D334" s="1">
        <v>46051.806250000001</v>
      </c>
      <c r="E334" s="8">
        <f t="shared" si="5"/>
        <v>46051</v>
      </c>
      <c r="F334">
        <v>49</v>
      </c>
      <c r="G334" t="s">
        <v>15</v>
      </c>
      <c r="H334" t="s">
        <v>10</v>
      </c>
      <c r="I334">
        <v>3</v>
      </c>
      <c r="J334" t="str">
        <f>_xlfn.IFNA(VLOOKUP(C334,merchants!$A$2:$D$41,2,FALSE),"Merchant not found")</f>
        <v>Merchant_003</v>
      </c>
      <c r="K334" t="str">
        <f>_xlfn.IFNA(VLOOKUP(C334,merchants!$A$2:$D$41,3,FALSE),"Merchant not found")</f>
        <v>grocery</v>
      </c>
      <c r="L334" t="str">
        <f>_xlfn.IFNA(VLOOKUP(C334,merchants!$A$2:$D$41,4,FALSE),"Merchant not found")</f>
        <v>East</v>
      </c>
      <c r="M334" s="2">
        <f>HLOOKUP(G334,Fees!$B$1:$E$2,2,FALSE)</f>
        <v>0.01</v>
      </c>
      <c r="N334" t="str">
        <f>IF(AND(K334&lt;&gt;"East",GETPIVOTDATA("amount_inr",'Daily Totals'!$A$4,"merchant_name",J334,"Days (transaction_time)",TEXT(D334,"dd-mmm"))&gt;5000),"High-Value Merchant Day", "Normal")</f>
        <v>Normal</v>
      </c>
    </row>
    <row r="335" spans="1:14" x14ac:dyDescent="0.3">
      <c r="A335" t="s">
        <v>348</v>
      </c>
      <c r="B335">
        <v>296</v>
      </c>
      <c r="C335">
        <v>17</v>
      </c>
      <c r="D335" s="1">
        <v>46025.070138888892</v>
      </c>
      <c r="E335" s="8">
        <f t="shared" si="5"/>
        <v>46025</v>
      </c>
      <c r="F335">
        <v>99</v>
      </c>
      <c r="G335" t="s">
        <v>12</v>
      </c>
      <c r="H335" t="s">
        <v>10</v>
      </c>
      <c r="I335">
        <v>83</v>
      </c>
      <c r="J335" t="str">
        <f>_xlfn.IFNA(VLOOKUP(C335,merchants!$A$2:$D$41,2,FALSE),"Merchant not found")</f>
        <v>Merchant_017</v>
      </c>
      <c r="K335" t="str">
        <f>_xlfn.IFNA(VLOOKUP(C335,merchants!$A$2:$D$41,3,FALSE),"Merchant not found")</f>
        <v>grocery</v>
      </c>
      <c r="L335" t="str">
        <f>_xlfn.IFNA(VLOOKUP(C335,merchants!$A$2:$D$41,4,FALSE),"Merchant not found")</f>
        <v>North</v>
      </c>
      <c r="M335" s="2">
        <f>HLOOKUP(G335,Fees!$B$1:$E$2,2,FALSE)</f>
        <v>0</v>
      </c>
      <c r="N335" t="str">
        <f>IF(AND(K335&lt;&gt;"East",GETPIVOTDATA("amount_inr",'Daily Totals'!$A$4,"merchant_name",J335,"Days (transaction_time)",TEXT(D335,"dd-mmm"))&gt;5000),"High-Value Merchant Day", "Normal")</f>
        <v>Normal</v>
      </c>
    </row>
    <row r="336" spans="1:14" x14ac:dyDescent="0.3">
      <c r="A336" t="s">
        <v>349</v>
      </c>
      <c r="B336">
        <v>317</v>
      </c>
      <c r="C336">
        <v>2</v>
      </c>
      <c r="D336" s="1">
        <v>46029.768055555556</v>
      </c>
      <c r="E336" s="8">
        <f t="shared" si="5"/>
        <v>46029</v>
      </c>
      <c r="F336">
        <v>499</v>
      </c>
      <c r="G336" t="s">
        <v>24</v>
      </c>
      <c r="H336" t="s">
        <v>10</v>
      </c>
      <c r="I336">
        <v>63</v>
      </c>
      <c r="J336" t="str">
        <f>_xlfn.IFNA(VLOOKUP(C336,merchants!$A$2:$D$41,2,FALSE),"Merchant not found")</f>
        <v>Merchant_002</v>
      </c>
      <c r="K336" t="str">
        <f>_xlfn.IFNA(VLOOKUP(C336,merchants!$A$2:$D$41,3,FALSE),"Merchant not found")</f>
        <v>grocery</v>
      </c>
      <c r="L336" t="str">
        <f>_xlfn.IFNA(VLOOKUP(C336,merchants!$A$2:$D$41,4,FALSE),"Merchant not found")</f>
        <v>West</v>
      </c>
      <c r="M336" s="2">
        <f>HLOOKUP(G336,Fees!$B$1:$E$2,2,FALSE)</f>
        <v>0.02</v>
      </c>
      <c r="N336" t="str">
        <f>IF(AND(K336&lt;&gt;"East",GETPIVOTDATA("amount_inr",'Daily Totals'!$A$4,"merchant_name",J336,"Days (transaction_time)",TEXT(D336,"dd-mmm"))&gt;5000),"High-Value Merchant Day", "Normal")</f>
        <v>Normal</v>
      </c>
    </row>
    <row r="337" spans="1:14" x14ac:dyDescent="0.3">
      <c r="A337" t="s">
        <v>350</v>
      </c>
      <c r="B337">
        <v>149</v>
      </c>
      <c r="C337">
        <v>20</v>
      </c>
      <c r="D337" s="1">
        <v>46051.856944444444</v>
      </c>
      <c r="E337" s="8">
        <f t="shared" si="5"/>
        <v>46051</v>
      </c>
      <c r="F337">
        <v>499</v>
      </c>
      <c r="G337" t="s">
        <v>24</v>
      </c>
      <c r="H337" t="s">
        <v>10</v>
      </c>
      <c r="I337">
        <v>61</v>
      </c>
      <c r="J337" t="str">
        <f>_xlfn.IFNA(VLOOKUP(C337,merchants!$A$2:$D$41,2,FALSE),"Merchant not found")</f>
        <v>Merchant_020</v>
      </c>
      <c r="K337" t="str">
        <f>_xlfn.IFNA(VLOOKUP(C337,merchants!$A$2:$D$41,3,FALSE),"Merchant not found")</f>
        <v>food_delivery</v>
      </c>
      <c r="L337" t="str">
        <f>_xlfn.IFNA(VLOOKUP(C337,merchants!$A$2:$D$41,4,FALSE),"Merchant not found")</f>
        <v>East</v>
      </c>
      <c r="M337" s="2">
        <f>HLOOKUP(G337,Fees!$B$1:$E$2,2,FALSE)</f>
        <v>0.02</v>
      </c>
      <c r="N337" t="str">
        <f>IF(AND(K337&lt;&gt;"East",GETPIVOTDATA("amount_inr",'Daily Totals'!$A$4,"merchant_name",J337,"Days (transaction_time)",TEXT(D337,"dd-mmm"))&gt;5000),"High-Value Merchant Day", "Normal")</f>
        <v>Normal</v>
      </c>
    </row>
    <row r="338" spans="1:14" x14ac:dyDescent="0.3">
      <c r="A338" t="s">
        <v>351</v>
      </c>
      <c r="B338">
        <v>153</v>
      </c>
      <c r="C338">
        <v>30</v>
      </c>
      <c r="D338" s="1">
        <v>46030.892361111109</v>
      </c>
      <c r="E338" s="8">
        <f t="shared" si="5"/>
        <v>46030</v>
      </c>
      <c r="F338">
        <v>299</v>
      </c>
      <c r="G338" t="s">
        <v>12</v>
      </c>
      <c r="H338" t="s">
        <v>10</v>
      </c>
      <c r="I338">
        <v>9</v>
      </c>
      <c r="J338" t="str">
        <f>_xlfn.IFNA(VLOOKUP(C338,merchants!$A$2:$D$41,2,FALSE),"Merchant not found")</f>
        <v>Merchant_030</v>
      </c>
      <c r="K338" t="str">
        <f>_xlfn.IFNA(VLOOKUP(C338,merchants!$A$2:$D$41,3,FALSE),"Merchant not found")</f>
        <v>travel</v>
      </c>
      <c r="L338" t="str">
        <f>_xlfn.IFNA(VLOOKUP(C338,merchants!$A$2:$D$41,4,FALSE),"Merchant not found")</f>
        <v>West</v>
      </c>
      <c r="M338" s="2">
        <f>HLOOKUP(G338,Fees!$B$1:$E$2,2,FALSE)</f>
        <v>0</v>
      </c>
      <c r="N338" t="str">
        <f>IF(AND(K338&lt;&gt;"East",GETPIVOTDATA("amount_inr",'Daily Totals'!$A$4,"merchant_name",J338,"Days (transaction_time)",TEXT(D338,"dd-mmm"))&gt;5000),"High-Value Merchant Day", "Normal")</f>
        <v>Normal</v>
      </c>
    </row>
    <row r="339" spans="1:14" x14ac:dyDescent="0.3">
      <c r="A339" t="s">
        <v>352</v>
      </c>
      <c r="B339">
        <v>226</v>
      </c>
      <c r="C339">
        <v>27</v>
      </c>
      <c r="D339" s="1">
        <v>46045.048611111109</v>
      </c>
      <c r="E339" s="8">
        <f t="shared" si="5"/>
        <v>46045</v>
      </c>
      <c r="F339">
        <v>2999</v>
      </c>
      <c r="G339" t="s">
        <v>12</v>
      </c>
      <c r="H339" t="s">
        <v>38</v>
      </c>
      <c r="I339">
        <v>61</v>
      </c>
      <c r="J339" t="str">
        <f>_xlfn.IFNA(VLOOKUP(C339,merchants!$A$2:$D$41,2,FALSE),"Merchant not found")</f>
        <v>Merchant_027</v>
      </c>
      <c r="K339" t="str">
        <f>_xlfn.IFNA(VLOOKUP(C339,merchants!$A$2:$D$41,3,FALSE),"Merchant not found")</f>
        <v>ecommerce</v>
      </c>
      <c r="L339" t="str">
        <f>_xlfn.IFNA(VLOOKUP(C339,merchants!$A$2:$D$41,4,FALSE),"Merchant not found")</f>
        <v>North</v>
      </c>
      <c r="M339" s="2">
        <f>HLOOKUP(G339,Fees!$B$1:$E$2,2,FALSE)</f>
        <v>0</v>
      </c>
      <c r="N339" t="str">
        <f>IF(AND(K339&lt;&gt;"East",GETPIVOTDATA("amount_inr",'Daily Totals'!$A$4,"merchant_name",J339,"Days (transaction_time)",TEXT(D339,"dd-mmm"))&gt;5000),"High-Value Merchant Day", "Normal")</f>
        <v>Normal</v>
      </c>
    </row>
    <row r="340" spans="1:14" x14ac:dyDescent="0.3">
      <c r="A340" t="s">
        <v>353</v>
      </c>
      <c r="B340">
        <v>311</v>
      </c>
      <c r="C340">
        <v>10</v>
      </c>
      <c r="D340" s="1">
        <v>46037.26458333333</v>
      </c>
      <c r="E340" s="8">
        <f t="shared" si="5"/>
        <v>46037</v>
      </c>
      <c r="F340">
        <v>2999</v>
      </c>
      <c r="G340" t="s">
        <v>12</v>
      </c>
      <c r="H340" t="s">
        <v>10</v>
      </c>
      <c r="I340">
        <v>40</v>
      </c>
      <c r="J340" t="str">
        <f>_xlfn.IFNA(VLOOKUP(C340,merchants!$A$2:$D$41,2,FALSE),"Merchant not found")</f>
        <v>Merchant_010</v>
      </c>
      <c r="K340" t="str">
        <f>_xlfn.IFNA(VLOOKUP(C340,merchants!$A$2:$D$41,3,FALSE),"Merchant not found")</f>
        <v>grocery</v>
      </c>
      <c r="L340" t="str">
        <f>_xlfn.IFNA(VLOOKUP(C340,merchants!$A$2:$D$41,4,FALSE),"Merchant not found")</f>
        <v>West</v>
      </c>
      <c r="M340" s="2">
        <f>HLOOKUP(G340,Fees!$B$1:$E$2,2,FALSE)</f>
        <v>0</v>
      </c>
      <c r="N340" t="str">
        <f>IF(AND(K340&lt;&gt;"East",GETPIVOTDATA("amount_inr",'Daily Totals'!$A$4,"merchant_name",J340,"Days (transaction_time)",TEXT(D340,"dd-mmm"))&gt;5000),"High-Value Merchant Day", "Normal")</f>
        <v>Normal</v>
      </c>
    </row>
    <row r="341" spans="1:14" x14ac:dyDescent="0.3">
      <c r="A341" t="s">
        <v>354</v>
      </c>
      <c r="B341">
        <v>177</v>
      </c>
      <c r="C341">
        <v>26</v>
      </c>
      <c r="D341" s="1">
        <v>46050.930555555555</v>
      </c>
      <c r="E341" s="8">
        <f t="shared" si="5"/>
        <v>46050</v>
      </c>
      <c r="F341">
        <v>1499</v>
      </c>
      <c r="G341" t="s">
        <v>12</v>
      </c>
      <c r="H341" t="s">
        <v>10</v>
      </c>
      <c r="I341">
        <v>16</v>
      </c>
      <c r="J341" t="str">
        <f>_xlfn.IFNA(VLOOKUP(C341,merchants!$A$2:$D$41,2,FALSE),"Merchant not found")</f>
        <v>Merchant_026</v>
      </c>
      <c r="K341" t="str">
        <f>_xlfn.IFNA(VLOOKUP(C341,merchants!$A$2:$D$41,3,FALSE),"Merchant not found")</f>
        <v>food_delivery</v>
      </c>
      <c r="L341" t="str">
        <f>_xlfn.IFNA(VLOOKUP(C341,merchants!$A$2:$D$41,4,FALSE),"Merchant not found")</f>
        <v>East</v>
      </c>
      <c r="M341" s="2">
        <f>HLOOKUP(G341,Fees!$B$1:$E$2,2,FALSE)</f>
        <v>0</v>
      </c>
      <c r="N341" t="str">
        <f>IF(AND(K341&lt;&gt;"East",GETPIVOTDATA("amount_inr",'Daily Totals'!$A$4,"merchant_name",J341,"Days (transaction_time)",TEXT(D341,"dd-mmm"))&gt;5000),"High-Value Merchant Day", "Normal")</f>
        <v>Normal</v>
      </c>
    </row>
    <row r="342" spans="1:14" x14ac:dyDescent="0.3">
      <c r="A342" t="s">
        <v>355</v>
      </c>
      <c r="B342">
        <v>288</v>
      </c>
      <c r="C342">
        <v>7</v>
      </c>
      <c r="D342" s="1">
        <v>46047.480555555558</v>
      </c>
      <c r="E342" s="8">
        <f t="shared" si="5"/>
        <v>46047</v>
      </c>
      <c r="F342">
        <v>99</v>
      </c>
      <c r="G342" t="s">
        <v>15</v>
      </c>
      <c r="H342" t="s">
        <v>10</v>
      </c>
      <c r="I342">
        <v>40</v>
      </c>
      <c r="J342" t="str">
        <f>_xlfn.IFNA(VLOOKUP(C342,merchants!$A$2:$D$41,2,FALSE),"Merchant not found")</f>
        <v>Merchant_007</v>
      </c>
      <c r="K342" t="str">
        <f>_xlfn.IFNA(VLOOKUP(C342,merchants!$A$2:$D$41,3,FALSE),"Merchant not found")</f>
        <v>food_delivery</v>
      </c>
      <c r="L342" t="str">
        <f>_xlfn.IFNA(VLOOKUP(C342,merchants!$A$2:$D$41,4,FALSE),"Merchant not found")</f>
        <v>East</v>
      </c>
      <c r="M342" s="2">
        <f>HLOOKUP(G342,Fees!$B$1:$E$2,2,FALSE)</f>
        <v>0.01</v>
      </c>
      <c r="N342" t="str">
        <f>IF(AND(K342&lt;&gt;"East",GETPIVOTDATA("amount_inr",'Daily Totals'!$A$4,"merchant_name",J342,"Days (transaction_time)",TEXT(D342,"dd-mmm"))&gt;5000),"High-Value Merchant Day", "Normal")</f>
        <v>Normal</v>
      </c>
    </row>
    <row r="343" spans="1:14" x14ac:dyDescent="0.3">
      <c r="A343" t="s">
        <v>356</v>
      </c>
      <c r="B343">
        <v>137</v>
      </c>
      <c r="C343">
        <v>29</v>
      </c>
      <c r="D343" s="1">
        <v>46030.588194444441</v>
      </c>
      <c r="E343" s="8">
        <f t="shared" si="5"/>
        <v>46030</v>
      </c>
      <c r="F343">
        <v>2999</v>
      </c>
      <c r="G343" t="s">
        <v>12</v>
      </c>
      <c r="H343" t="s">
        <v>25</v>
      </c>
      <c r="I343">
        <v>31</v>
      </c>
      <c r="J343" t="str">
        <f>_xlfn.IFNA(VLOOKUP(C343,merchants!$A$2:$D$41,2,FALSE),"Merchant not found")</f>
        <v>Merchant_029</v>
      </c>
      <c r="K343" t="str">
        <f>_xlfn.IFNA(VLOOKUP(C343,merchants!$A$2:$D$41,3,FALSE),"Merchant not found")</f>
        <v>ecommerce</v>
      </c>
      <c r="L343" t="str">
        <f>_xlfn.IFNA(VLOOKUP(C343,merchants!$A$2:$D$41,4,FALSE),"Merchant not found")</f>
        <v>North</v>
      </c>
      <c r="M343" s="2">
        <f>HLOOKUP(G343,Fees!$B$1:$E$2,2,FALSE)</f>
        <v>0</v>
      </c>
      <c r="N343" t="str">
        <f>IF(AND(K343&lt;&gt;"East",GETPIVOTDATA("amount_inr",'Daily Totals'!$A$4,"merchant_name",J343,"Days (transaction_time)",TEXT(D343,"dd-mmm"))&gt;5000),"High-Value Merchant Day", "Normal")</f>
        <v>Normal</v>
      </c>
    </row>
    <row r="344" spans="1:14" x14ac:dyDescent="0.3">
      <c r="A344" t="s">
        <v>357</v>
      </c>
      <c r="B344">
        <v>149</v>
      </c>
      <c r="C344">
        <v>25</v>
      </c>
      <c r="D344" s="1">
        <v>46027.127083333333</v>
      </c>
      <c r="E344" s="8">
        <f t="shared" si="5"/>
        <v>46027</v>
      </c>
      <c r="F344">
        <v>1499</v>
      </c>
      <c r="G344" t="s">
        <v>12</v>
      </c>
      <c r="H344" t="s">
        <v>10</v>
      </c>
      <c r="I344">
        <v>78</v>
      </c>
      <c r="J344" t="str">
        <f>_xlfn.IFNA(VLOOKUP(C344,merchants!$A$2:$D$41,2,FALSE),"Merchant not found")</f>
        <v>Merchant_025</v>
      </c>
      <c r="K344" t="str">
        <f>_xlfn.IFNA(VLOOKUP(C344,merchants!$A$2:$D$41,3,FALSE),"Merchant not found")</f>
        <v>travel</v>
      </c>
      <c r="L344" t="str">
        <f>_xlfn.IFNA(VLOOKUP(C344,merchants!$A$2:$D$41,4,FALSE),"Merchant not found")</f>
        <v>South</v>
      </c>
      <c r="M344" s="2">
        <f>HLOOKUP(G344,Fees!$B$1:$E$2,2,FALSE)</f>
        <v>0</v>
      </c>
      <c r="N344" t="str">
        <f>IF(AND(K344&lt;&gt;"East",GETPIVOTDATA("amount_inr",'Daily Totals'!$A$4,"merchant_name",J344,"Days (transaction_time)",TEXT(D344,"dd-mmm"))&gt;5000),"High-Value Merchant Day", "Normal")</f>
        <v>Normal</v>
      </c>
    </row>
    <row r="345" spans="1:14" x14ac:dyDescent="0.3">
      <c r="A345" t="s">
        <v>358</v>
      </c>
      <c r="B345">
        <v>82</v>
      </c>
      <c r="C345">
        <v>21</v>
      </c>
      <c r="D345" s="1">
        <v>46036.329861111109</v>
      </c>
      <c r="E345" s="8">
        <f t="shared" si="5"/>
        <v>46036</v>
      </c>
      <c r="F345">
        <v>49</v>
      </c>
      <c r="G345" t="s">
        <v>9</v>
      </c>
      <c r="H345" t="s">
        <v>10</v>
      </c>
      <c r="I345">
        <v>73</v>
      </c>
      <c r="J345" t="str">
        <f>_xlfn.IFNA(VLOOKUP(C345,merchants!$A$2:$D$41,2,FALSE),"Merchant not found")</f>
        <v>Merchant_021</v>
      </c>
      <c r="K345" t="str">
        <f>_xlfn.IFNA(VLOOKUP(C345,merchants!$A$2:$D$41,3,FALSE),"Merchant not found")</f>
        <v>food_delivery</v>
      </c>
      <c r="L345" t="str">
        <f>_xlfn.IFNA(VLOOKUP(C345,merchants!$A$2:$D$41,4,FALSE),"Merchant not found")</f>
        <v>East</v>
      </c>
      <c r="M345" s="2">
        <f>HLOOKUP(G345,Fees!$B$1:$E$2,2,FALSE)</f>
        <v>1.4999999999999999E-2</v>
      </c>
      <c r="N345" t="str">
        <f>IF(AND(K345&lt;&gt;"East",GETPIVOTDATA("amount_inr",'Daily Totals'!$A$4,"merchant_name",J345,"Days (transaction_time)",TEXT(D345,"dd-mmm"))&gt;5000),"High-Value Merchant Day", "Normal")</f>
        <v>Normal</v>
      </c>
    </row>
    <row r="346" spans="1:14" x14ac:dyDescent="0.3">
      <c r="A346" t="s">
        <v>359</v>
      </c>
      <c r="B346">
        <v>82</v>
      </c>
      <c r="C346">
        <v>32</v>
      </c>
      <c r="D346" s="1">
        <v>46046.425000000003</v>
      </c>
      <c r="E346" s="8">
        <f t="shared" si="5"/>
        <v>46046</v>
      </c>
      <c r="F346">
        <v>49</v>
      </c>
      <c r="G346" t="s">
        <v>12</v>
      </c>
      <c r="H346" t="s">
        <v>10</v>
      </c>
      <c r="I346">
        <v>65</v>
      </c>
      <c r="J346" t="str">
        <f>_xlfn.IFNA(VLOOKUP(C346,merchants!$A$2:$D$41,2,FALSE),"Merchant not found")</f>
        <v>Merchant_032</v>
      </c>
      <c r="K346" t="str">
        <f>_xlfn.IFNA(VLOOKUP(C346,merchants!$A$2:$D$41,3,FALSE),"Merchant not found")</f>
        <v>food_delivery</v>
      </c>
      <c r="L346" t="str">
        <f>_xlfn.IFNA(VLOOKUP(C346,merchants!$A$2:$D$41,4,FALSE),"Merchant not found")</f>
        <v>West</v>
      </c>
      <c r="M346" s="2">
        <f>HLOOKUP(G346,Fees!$B$1:$E$2,2,FALSE)</f>
        <v>0</v>
      </c>
      <c r="N346" t="str">
        <f>IF(AND(K346&lt;&gt;"East",GETPIVOTDATA("amount_inr",'Daily Totals'!$A$4,"merchant_name",J346,"Days (transaction_time)",TEXT(D346,"dd-mmm"))&gt;5000),"High-Value Merchant Day", "Normal")</f>
        <v>Normal</v>
      </c>
    </row>
    <row r="347" spans="1:14" x14ac:dyDescent="0.3">
      <c r="A347" t="s">
        <v>360</v>
      </c>
      <c r="B347">
        <v>158</v>
      </c>
      <c r="C347">
        <v>32</v>
      </c>
      <c r="D347" s="1">
        <v>46037.663888888892</v>
      </c>
      <c r="E347" s="8">
        <f t="shared" si="5"/>
        <v>46037</v>
      </c>
      <c r="F347">
        <v>99</v>
      </c>
      <c r="G347" t="s">
        <v>9</v>
      </c>
      <c r="H347" t="s">
        <v>10</v>
      </c>
      <c r="I347">
        <v>2</v>
      </c>
      <c r="J347" t="str">
        <f>_xlfn.IFNA(VLOOKUP(C347,merchants!$A$2:$D$41,2,FALSE),"Merchant not found")</f>
        <v>Merchant_032</v>
      </c>
      <c r="K347" t="str">
        <f>_xlfn.IFNA(VLOOKUP(C347,merchants!$A$2:$D$41,3,FALSE),"Merchant not found")</f>
        <v>food_delivery</v>
      </c>
      <c r="L347" t="str">
        <f>_xlfn.IFNA(VLOOKUP(C347,merchants!$A$2:$D$41,4,FALSE),"Merchant not found")</f>
        <v>West</v>
      </c>
      <c r="M347" s="2">
        <f>HLOOKUP(G347,Fees!$B$1:$E$2,2,FALSE)</f>
        <v>1.4999999999999999E-2</v>
      </c>
      <c r="N347" t="str">
        <f>IF(AND(K347&lt;&gt;"East",GETPIVOTDATA("amount_inr",'Daily Totals'!$A$4,"merchant_name",J347,"Days (transaction_time)",TEXT(D347,"dd-mmm"))&gt;5000),"High-Value Merchant Day", "Normal")</f>
        <v>Normal</v>
      </c>
    </row>
    <row r="348" spans="1:14" x14ac:dyDescent="0.3">
      <c r="A348" t="s">
        <v>361</v>
      </c>
      <c r="B348">
        <v>235</v>
      </c>
      <c r="C348">
        <v>16</v>
      </c>
      <c r="D348" s="1">
        <v>46025.522222222222</v>
      </c>
      <c r="E348" s="8">
        <f t="shared" si="5"/>
        <v>46025</v>
      </c>
      <c r="F348">
        <v>99</v>
      </c>
      <c r="G348" t="s">
        <v>12</v>
      </c>
      <c r="H348" t="s">
        <v>10</v>
      </c>
      <c r="I348">
        <v>27</v>
      </c>
      <c r="J348" t="str">
        <f>_xlfn.IFNA(VLOOKUP(C348,merchants!$A$2:$D$41,2,FALSE),"Merchant not found")</f>
        <v>Merchant_016</v>
      </c>
      <c r="K348" t="str">
        <f>_xlfn.IFNA(VLOOKUP(C348,merchants!$A$2:$D$41,3,FALSE),"Merchant not found")</f>
        <v>bill_payment</v>
      </c>
      <c r="L348" t="str">
        <f>_xlfn.IFNA(VLOOKUP(C348,merchants!$A$2:$D$41,4,FALSE),"Merchant not found")</f>
        <v>West</v>
      </c>
      <c r="M348" s="2">
        <f>HLOOKUP(G348,Fees!$B$1:$E$2,2,FALSE)</f>
        <v>0</v>
      </c>
      <c r="N348" t="str">
        <f>IF(AND(K348&lt;&gt;"East",GETPIVOTDATA("amount_inr",'Daily Totals'!$A$4,"merchant_name",J348,"Days (transaction_time)",TEXT(D348,"dd-mmm"))&gt;5000),"High-Value Merchant Day", "Normal")</f>
        <v>Normal</v>
      </c>
    </row>
    <row r="349" spans="1:14" x14ac:dyDescent="0.3">
      <c r="A349" t="s">
        <v>362</v>
      </c>
      <c r="B349">
        <v>26</v>
      </c>
      <c r="C349">
        <v>19</v>
      </c>
      <c r="D349" s="1">
        <v>46041.460416666669</v>
      </c>
      <c r="E349" s="8">
        <f t="shared" si="5"/>
        <v>46041</v>
      </c>
      <c r="F349">
        <v>99</v>
      </c>
      <c r="G349" t="s">
        <v>9</v>
      </c>
      <c r="H349" t="s">
        <v>10</v>
      </c>
      <c r="I349">
        <v>63</v>
      </c>
      <c r="J349" t="str">
        <f>_xlfn.IFNA(VLOOKUP(C349,merchants!$A$2:$D$41,2,FALSE),"Merchant not found")</f>
        <v>Merchant_019</v>
      </c>
      <c r="K349" t="str">
        <f>_xlfn.IFNA(VLOOKUP(C349,merchants!$A$2:$D$41,3,FALSE),"Merchant not found")</f>
        <v>grocery</v>
      </c>
      <c r="L349" t="str">
        <f>_xlfn.IFNA(VLOOKUP(C349,merchants!$A$2:$D$41,4,FALSE),"Merchant not found")</f>
        <v>North</v>
      </c>
      <c r="M349" s="2">
        <f>HLOOKUP(G349,Fees!$B$1:$E$2,2,FALSE)</f>
        <v>1.4999999999999999E-2</v>
      </c>
      <c r="N349" t="str">
        <f>IF(AND(K349&lt;&gt;"East",GETPIVOTDATA("amount_inr",'Daily Totals'!$A$4,"merchant_name",J349,"Days (transaction_time)",TEXT(D349,"dd-mmm"))&gt;5000),"High-Value Merchant Day", "Normal")</f>
        <v>Normal</v>
      </c>
    </row>
    <row r="350" spans="1:14" x14ac:dyDescent="0.3">
      <c r="A350" t="s">
        <v>363</v>
      </c>
      <c r="B350">
        <v>241</v>
      </c>
      <c r="C350">
        <v>19</v>
      </c>
      <c r="D350" s="1">
        <v>46042.863194444442</v>
      </c>
      <c r="E350" s="8">
        <f t="shared" si="5"/>
        <v>46042</v>
      </c>
      <c r="F350">
        <v>299</v>
      </c>
      <c r="G350" t="s">
        <v>12</v>
      </c>
      <c r="H350" t="s">
        <v>10</v>
      </c>
      <c r="I350">
        <v>68</v>
      </c>
      <c r="J350" t="str">
        <f>_xlfn.IFNA(VLOOKUP(C350,merchants!$A$2:$D$41,2,FALSE),"Merchant not found")</f>
        <v>Merchant_019</v>
      </c>
      <c r="K350" t="str">
        <f>_xlfn.IFNA(VLOOKUP(C350,merchants!$A$2:$D$41,3,FALSE),"Merchant not found")</f>
        <v>grocery</v>
      </c>
      <c r="L350" t="str">
        <f>_xlfn.IFNA(VLOOKUP(C350,merchants!$A$2:$D$41,4,FALSE),"Merchant not found")</f>
        <v>North</v>
      </c>
      <c r="M350" s="2">
        <f>HLOOKUP(G350,Fees!$B$1:$E$2,2,FALSE)</f>
        <v>0</v>
      </c>
      <c r="N350" t="str">
        <f>IF(AND(K350&lt;&gt;"East",GETPIVOTDATA("amount_inr",'Daily Totals'!$A$4,"merchant_name",J350,"Days (transaction_time)",TEXT(D350,"dd-mmm"))&gt;5000),"High-Value Merchant Day", "Normal")</f>
        <v>Normal</v>
      </c>
    </row>
    <row r="351" spans="1:14" x14ac:dyDescent="0.3">
      <c r="A351" t="s">
        <v>364</v>
      </c>
      <c r="B351">
        <v>69</v>
      </c>
      <c r="C351">
        <v>17</v>
      </c>
      <c r="D351" s="1">
        <v>46023.143750000003</v>
      </c>
      <c r="E351" s="8">
        <f t="shared" si="5"/>
        <v>46023</v>
      </c>
      <c r="F351">
        <v>1499</v>
      </c>
      <c r="G351" t="s">
        <v>12</v>
      </c>
      <c r="H351" t="s">
        <v>10</v>
      </c>
      <c r="I351">
        <v>93</v>
      </c>
      <c r="J351" t="str">
        <f>_xlfn.IFNA(VLOOKUP(C351,merchants!$A$2:$D$41,2,FALSE),"Merchant not found")</f>
        <v>Merchant_017</v>
      </c>
      <c r="K351" t="str">
        <f>_xlfn.IFNA(VLOOKUP(C351,merchants!$A$2:$D$41,3,FALSE),"Merchant not found")</f>
        <v>grocery</v>
      </c>
      <c r="L351" t="str">
        <f>_xlfn.IFNA(VLOOKUP(C351,merchants!$A$2:$D$41,4,FALSE),"Merchant not found")</f>
        <v>North</v>
      </c>
      <c r="M351" s="2">
        <f>HLOOKUP(G351,Fees!$B$1:$E$2,2,FALSE)</f>
        <v>0</v>
      </c>
      <c r="N351" t="str">
        <f>IF(AND(K351&lt;&gt;"East",GETPIVOTDATA("amount_inr",'Daily Totals'!$A$4,"merchant_name",J351,"Days (transaction_time)",TEXT(D351,"dd-mmm"))&gt;5000),"High-Value Merchant Day", "Normal")</f>
        <v>Normal</v>
      </c>
    </row>
    <row r="352" spans="1:14" x14ac:dyDescent="0.3">
      <c r="A352" t="s">
        <v>365</v>
      </c>
      <c r="B352">
        <v>24</v>
      </c>
      <c r="C352">
        <v>26</v>
      </c>
      <c r="D352" s="1">
        <v>46034.515972222223</v>
      </c>
      <c r="E352" s="8">
        <f t="shared" si="5"/>
        <v>46034</v>
      </c>
      <c r="F352">
        <v>299</v>
      </c>
      <c r="G352" t="s">
        <v>15</v>
      </c>
      <c r="H352" t="s">
        <v>10</v>
      </c>
      <c r="I352">
        <v>6</v>
      </c>
      <c r="J352" t="str">
        <f>_xlfn.IFNA(VLOOKUP(C352,merchants!$A$2:$D$41,2,FALSE),"Merchant not found")</f>
        <v>Merchant_026</v>
      </c>
      <c r="K352" t="str">
        <f>_xlfn.IFNA(VLOOKUP(C352,merchants!$A$2:$D$41,3,FALSE),"Merchant not found")</f>
        <v>food_delivery</v>
      </c>
      <c r="L352" t="str">
        <f>_xlfn.IFNA(VLOOKUP(C352,merchants!$A$2:$D$41,4,FALSE),"Merchant not found")</f>
        <v>East</v>
      </c>
      <c r="M352" s="2">
        <f>HLOOKUP(G352,Fees!$B$1:$E$2,2,FALSE)</f>
        <v>0.01</v>
      </c>
      <c r="N352" t="str">
        <f>IF(AND(K352&lt;&gt;"East",GETPIVOTDATA("amount_inr",'Daily Totals'!$A$4,"merchant_name",J352,"Days (transaction_time)",TEXT(D352,"dd-mmm"))&gt;5000),"High-Value Merchant Day", "Normal")</f>
        <v>Normal</v>
      </c>
    </row>
    <row r="353" spans="1:14" x14ac:dyDescent="0.3">
      <c r="A353" t="s">
        <v>366</v>
      </c>
      <c r="B353">
        <v>186</v>
      </c>
      <c r="C353">
        <v>36</v>
      </c>
      <c r="D353" s="1">
        <v>46041.716666666667</v>
      </c>
      <c r="E353" s="8">
        <f t="shared" si="5"/>
        <v>46041</v>
      </c>
      <c r="F353">
        <v>4999</v>
      </c>
      <c r="G353" t="s">
        <v>12</v>
      </c>
      <c r="H353" t="s">
        <v>10</v>
      </c>
      <c r="I353">
        <v>36</v>
      </c>
      <c r="J353" t="str">
        <f>_xlfn.IFNA(VLOOKUP(C353,merchants!$A$2:$D$41,2,FALSE),"Merchant not found")</f>
        <v>Merchant_036</v>
      </c>
      <c r="K353" t="str">
        <f>_xlfn.IFNA(VLOOKUP(C353,merchants!$A$2:$D$41,3,FALSE),"Merchant not found")</f>
        <v>entertainment</v>
      </c>
      <c r="L353" t="str">
        <f>_xlfn.IFNA(VLOOKUP(C353,merchants!$A$2:$D$41,4,FALSE),"Merchant not found")</f>
        <v>East</v>
      </c>
      <c r="M353" s="2">
        <f>HLOOKUP(G353,Fees!$B$1:$E$2,2,FALSE)</f>
        <v>0</v>
      </c>
      <c r="N353" t="str">
        <f>IF(AND(K353&lt;&gt;"East",GETPIVOTDATA("amount_inr",'Daily Totals'!$A$4,"merchant_name",J353,"Days (transaction_time)",TEXT(D353,"dd-mmm"))&gt;5000),"High-Value Merchant Day", "Normal")</f>
        <v>Normal</v>
      </c>
    </row>
    <row r="354" spans="1:14" x14ac:dyDescent="0.3">
      <c r="A354" t="s">
        <v>367</v>
      </c>
      <c r="B354">
        <v>231</v>
      </c>
      <c r="C354">
        <v>36</v>
      </c>
      <c r="D354" s="1">
        <v>46025.522222222222</v>
      </c>
      <c r="E354" s="8">
        <f t="shared" si="5"/>
        <v>46025</v>
      </c>
      <c r="F354">
        <v>149</v>
      </c>
      <c r="G354" t="s">
        <v>12</v>
      </c>
      <c r="H354" t="s">
        <v>10</v>
      </c>
      <c r="I354">
        <v>35</v>
      </c>
      <c r="J354" t="str">
        <f>_xlfn.IFNA(VLOOKUP(C354,merchants!$A$2:$D$41,2,FALSE),"Merchant not found")</f>
        <v>Merchant_036</v>
      </c>
      <c r="K354" t="str">
        <f>_xlfn.IFNA(VLOOKUP(C354,merchants!$A$2:$D$41,3,FALSE),"Merchant not found")</f>
        <v>entertainment</v>
      </c>
      <c r="L354" t="str">
        <f>_xlfn.IFNA(VLOOKUP(C354,merchants!$A$2:$D$41,4,FALSE),"Merchant not found")</f>
        <v>East</v>
      </c>
      <c r="M354" s="2">
        <f>HLOOKUP(G354,Fees!$B$1:$E$2,2,FALSE)</f>
        <v>0</v>
      </c>
      <c r="N354" t="str">
        <f>IF(AND(K354&lt;&gt;"East",GETPIVOTDATA("amount_inr",'Daily Totals'!$A$4,"merchant_name",J354,"Days (transaction_time)",TEXT(D354,"dd-mmm"))&gt;5000),"High-Value Merchant Day", "Normal")</f>
        <v>Normal</v>
      </c>
    </row>
    <row r="355" spans="1:14" x14ac:dyDescent="0.3">
      <c r="A355" t="s">
        <v>368</v>
      </c>
      <c r="B355">
        <v>313</v>
      </c>
      <c r="C355">
        <v>8</v>
      </c>
      <c r="D355" s="1">
        <v>46049.821527777778</v>
      </c>
      <c r="E355" s="8">
        <f t="shared" si="5"/>
        <v>46049</v>
      </c>
      <c r="F355">
        <v>1499</v>
      </c>
      <c r="G355" t="s">
        <v>15</v>
      </c>
      <c r="H355" t="s">
        <v>10</v>
      </c>
      <c r="I355">
        <v>16</v>
      </c>
      <c r="J355" t="str">
        <f>_xlfn.IFNA(VLOOKUP(C355,merchants!$A$2:$D$41,2,FALSE),"Merchant not found")</f>
        <v>Merchant_008</v>
      </c>
      <c r="K355" t="str">
        <f>_xlfn.IFNA(VLOOKUP(C355,merchants!$A$2:$D$41,3,FALSE),"Merchant not found")</f>
        <v>food_delivery</v>
      </c>
      <c r="L355" t="str">
        <f>_xlfn.IFNA(VLOOKUP(C355,merchants!$A$2:$D$41,4,FALSE),"Merchant not found")</f>
        <v>North</v>
      </c>
      <c r="M355" s="2">
        <f>HLOOKUP(G355,Fees!$B$1:$E$2,2,FALSE)</f>
        <v>0.01</v>
      </c>
      <c r="N355" t="str">
        <f>IF(AND(K355&lt;&gt;"East",GETPIVOTDATA("amount_inr",'Daily Totals'!$A$4,"merchant_name",J355,"Days (transaction_time)",TEXT(D355,"dd-mmm"))&gt;5000),"High-Value Merchant Day", "Normal")</f>
        <v>Normal</v>
      </c>
    </row>
    <row r="356" spans="1:14" x14ac:dyDescent="0.3">
      <c r="A356" t="s">
        <v>369</v>
      </c>
      <c r="B356">
        <v>174</v>
      </c>
      <c r="C356">
        <v>36</v>
      </c>
      <c r="D356" s="1">
        <v>46026.515972222223</v>
      </c>
      <c r="E356" s="8">
        <f t="shared" si="5"/>
        <v>46026</v>
      </c>
      <c r="F356">
        <v>149</v>
      </c>
      <c r="G356" t="s">
        <v>12</v>
      </c>
      <c r="H356" t="s">
        <v>10</v>
      </c>
      <c r="I356">
        <v>46</v>
      </c>
      <c r="J356" t="str">
        <f>_xlfn.IFNA(VLOOKUP(C356,merchants!$A$2:$D$41,2,FALSE),"Merchant not found")</f>
        <v>Merchant_036</v>
      </c>
      <c r="K356" t="str">
        <f>_xlfn.IFNA(VLOOKUP(C356,merchants!$A$2:$D$41,3,FALSE),"Merchant not found")</f>
        <v>entertainment</v>
      </c>
      <c r="L356" t="str">
        <f>_xlfn.IFNA(VLOOKUP(C356,merchants!$A$2:$D$41,4,FALSE),"Merchant not found")</f>
        <v>East</v>
      </c>
      <c r="M356" s="2">
        <f>HLOOKUP(G356,Fees!$B$1:$E$2,2,FALSE)</f>
        <v>0</v>
      </c>
      <c r="N356" t="str">
        <f>IF(AND(K356&lt;&gt;"East",GETPIVOTDATA("amount_inr",'Daily Totals'!$A$4,"merchant_name",J356,"Days (transaction_time)",TEXT(D356,"dd-mmm"))&gt;5000),"High-Value Merchant Day", "Normal")</f>
        <v>Normal</v>
      </c>
    </row>
    <row r="357" spans="1:14" x14ac:dyDescent="0.3">
      <c r="A357" t="s">
        <v>370</v>
      </c>
      <c r="B357">
        <v>309</v>
      </c>
      <c r="C357">
        <v>33</v>
      </c>
      <c r="D357" s="1">
        <v>46047.175000000003</v>
      </c>
      <c r="E357" s="8">
        <f t="shared" si="5"/>
        <v>46047</v>
      </c>
      <c r="F357">
        <v>99</v>
      </c>
      <c r="G357" t="s">
        <v>12</v>
      </c>
      <c r="H357" t="s">
        <v>10</v>
      </c>
      <c r="I357">
        <v>51</v>
      </c>
      <c r="J357" t="str">
        <f>_xlfn.IFNA(VLOOKUP(C357,merchants!$A$2:$D$41,2,FALSE),"Merchant not found")</f>
        <v>Merchant_033</v>
      </c>
      <c r="K357" t="str">
        <f>_xlfn.IFNA(VLOOKUP(C357,merchants!$A$2:$D$41,3,FALSE),"Merchant not found")</f>
        <v>bill_payment</v>
      </c>
      <c r="L357" t="str">
        <f>_xlfn.IFNA(VLOOKUP(C357,merchants!$A$2:$D$41,4,FALSE),"Merchant not found")</f>
        <v>East</v>
      </c>
      <c r="M357" s="2">
        <f>HLOOKUP(G357,Fees!$B$1:$E$2,2,FALSE)</f>
        <v>0</v>
      </c>
      <c r="N357" t="str">
        <f>IF(AND(K357&lt;&gt;"East",GETPIVOTDATA("amount_inr",'Daily Totals'!$A$4,"merchant_name",J357,"Days (transaction_time)",TEXT(D357,"dd-mmm"))&gt;5000),"High-Value Merchant Day", "Normal")</f>
        <v>Normal</v>
      </c>
    </row>
    <row r="358" spans="1:14" x14ac:dyDescent="0.3">
      <c r="A358" t="s">
        <v>371</v>
      </c>
      <c r="B358">
        <v>20</v>
      </c>
      <c r="C358">
        <v>9</v>
      </c>
      <c r="D358" s="1">
        <v>46039.043055555558</v>
      </c>
      <c r="E358" s="8">
        <f t="shared" si="5"/>
        <v>46039</v>
      </c>
      <c r="F358">
        <v>99</v>
      </c>
      <c r="G358" t="s">
        <v>12</v>
      </c>
      <c r="H358" t="s">
        <v>10</v>
      </c>
      <c r="I358">
        <v>91</v>
      </c>
      <c r="J358" t="str">
        <f>_xlfn.IFNA(VLOOKUP(C358,merchants!$A$2:$D$41,2,FALSE),"Merchant not found")</f>
        <v>Merchant_009</v>
      </c>
      <c r="K358" t="str">
        <f>_xlfn.IFNA(VLOOKUP(C358,merchants!$A$2:$D$41,3,FALSE),"Merchant not found")</f>
        <v>ecommerce</v>
      </c>
      <c r="L358" t="str">
        <f>_xlfn.IFNA(VLOOKUP(C358,merchants!$A$2:$D$41,4,FALSE),"Merchant not found")</f>
        <v>North</v>
      </c>
      <c r="M358" s="2">
        <f>HLOOKUP(G358,Fees!$B$1:$E$2,2,FALSE)</f>
        <v>0</v>
      </c>
      <c r="N358" t="str">
        <f>IF(AND(K358&lt;&gt;"East",GETPIVOTDATA("amount_inr",'Daily Totals'!$A$4,"merchant_name",J358,"Days (transaction_time)",TEXT(D358,"dd-mmm"))&gt;5000),"High-Value Merchant Day", "Normal")</f>
        <v>Normal</v>
      </c>
    </row>
    <row r="359" spans="1:14" x14ac:dyDescent="0.3">
      <c r="A359" t="s">
        <v>372</v>
      </c>
      <c r="B359">
        <v>234</v>
      </c>
      <c r="C359">
        <v>10</v>
      </c>
      <c r="D359" s="1">
        <v>46033.647916666669</v>
      </c>
      <c r="E359" s="8">
        <f t="shared" si="5"/>
        <v>46033</v>
      </c>
      <c r="F359">
        <v>49</v>
      </c>
      <c r="G359" t="s">
        <v>12</v>
      </c>
      <c r="H359" t="s">
        <v>10</v>
      </c>
      <c r="I359">
        <v>77</v>
      </c>
      <c r="J359" t="str">
        <f>_xlfn.IFNA(VLOOKUP(C359,merchants!$A$2:$D$41,2,FALSE),"Merchant not found")</f>
        <v>Merchant_010</v>
      </c>
      <c r="K359" t="str">
        <f>_xlfn.IFNA(VLOOKUP(C359,merchants!$A$2:$D$41,3,FALSE),"Merchant not found")</f>
        <v>grocery</v>
      </c>
      <c r="L359" t="str">
        <f>_xlfn.IFNA(VLOOKUP(C359,merchants!$A$2:$D$41,4,FALSE),"Merchant not found")</f>
        <v>West</v>
      </c>
      <c r="M359" s="2">
        <f>HLOOKUP(G359,Fees!$B$1:$E$2,2,FALSE)</f>
        <v>0</v>
      </c>
      <c r="N359" t="str">
        <f>IF(AND(K359&lt;&gt;"East",GETPIVOTDATA("amount_inr",'Daily Totals'!$A$4,"merchant_name",J359,"Days (transaction_time)",TEXT(D359,"dd-mmm"))&gt;5000),"High-Value Merchant Day", "Normal")</f>
        <v>Normal</v>
      </c>
    </row>
    <row r="360" spans="1:14" x14ac:dyDescent="0.3">
      <c r="A360" t="s">
        <v>373</v>
      </c>
      <c r="B360">
        <v>168</v>
      </c>
      <c r="C360">
        <v>40</v>
      </c>
      <c r="D360" s="1">
        <v>46051.672222222223</v>
      </c>
      <c r="E360" s="8">
        <f t="shared" si="5"/>
        <v>46051</v>
      </c>
      <c r="F360">
        <v>149</v>
      </c>
      <c r="G360" t="s">
        <v>12</v>
      </c>
      <c r="H360" t="s">
        <v>38</v>
      </c>
      <c r="I360">
        <v>40</v>
      </c>
      <c r="J360" t="str">
        <f>_xlfn.IFNA(VLOOKUP(C360,merchants!$A$2:$D$41,2,FALSE),"Merchant not found")</f>
        <v>Merchant_040</v>
      </c>
      <c r="K360" t="str">
        <f>_xlfn.IFNA(VLOOKUP(C360,merchants!$A$2:$D$41,3,FALSE),"Merchant not found")</f>
        <v>entertainment</v>
      </c>
      <c r="L360" t="str">
        <f>_xlfn.IFNA(VLOOKUP(C360,merchants!$A$2:$D$41,4,FALSE),"Merchant not found")</f>
        <v>South</v>
      </c>
      <c r="M360" s="2">
        <f>HLOOKUP(G360,Fees!$B$1:$E$2,2,FALSE)</f>
        <v>0</v>
      </c>
      <c r="N360" t="str">
        <f>IF(AND(K360&lt;&gt;"East",GETPIVOTDATA("amount_inr",'Daily Totals'!$A$4,"merchant_name",J360,"Days (transaction_time)",TEXT(D360,"dd-mmm"))&gt;5000),"High-Value Merchant Day", "Normal")</f>
        <v>Normal</v>
      </c>
    </row>
    <row r="361" spans="1:14" x14ac:dyDescent="0.3">
      <c r="A361" t="s">
        <v>374</v>
      </c>
      <c r="B361">
        <v>154</v>
      </c>
      <c r="C361">
        <v>38</v>
      </c>
      <c r="D361" s="1">
        <v>46028.527083333334</v>
      </c>
      <c r="E361" s="8">
        <f t="shared" si="5"/>
        <v>46028</v>
      </c>
      <c r="F361">
        <v>99</v>
      </c>
      <c r="G361" t="s">
        <v>15</v>
      </c>
      <c r="H361" t="s">
        <v>10</v>
      </c>
      <c r="I361">
        <v>43</v>
      </c>
      <c r="J361" t="str">
        <f>_xlfn.IFNA(VLOOKUP(C361,merchants!$A$2:$D$41,2,FALSE),"Merchant not found")</f>
        <v>Merchant_038</v>
      </c>
      <c r="K361" t="str">
        <f>_xlfn.IFNA(VLOOKUP(C361,merchants!$A$2:$D$41,3,FALSE),"Merchant not found")</f>
        <v>grocery</v>
      </c>
      <c r="L361" t="str">
        <f>_xlfn.IFNA(VLOOKUP(C361,merchants!$A$2:$D$41,4,FALSE),"Merchant not found")</f>
        <v>East</v>
      </c>
      <c r="M361" s="2">
        <f>HLOOKUP(G361,Fees!$B$1:$E$2,2,FALSE)</f>
        <v>0.01</v>
      </c>
      <c r="N361" t="str">
        <f>IF(AND(K361&lt;&gt;"East",GETPIVOTDATA("amount_inr",'Daily Totals'!$A$4,"merchant_name",J361,"Days (transaction_time)",TEXT(D361,"dd-mmm"))&gt;5000),"High-Value Merchant Day", "Normal")</f>
        <v>Normal</v>
      </c>
    </row>
    <row r="362" spans="1:14" x14ac:dyDescent="0.3">
      <c r="A362" t="s">
        <v>375</v>
      </c>
      <c r="B362">
        <v>251</v>
      </c>
      <c r="C362">
        <v>37</v>
      </c>
      <c r="D362" s="1">
        <v>46039.69027777778</v>
      </c>
      <c r="E362" s="8">
        <f t="shared" si="5"/>
        <v>46039</v>
      </c>
      <c r="F362">
        <v>49</v>
      </c>
      <c r="G362" t="s">
        <v>12</v>
      </c>
      <c r="H362" t="s">
        <v>10</v>
      </c>
      <c r="I362">
        <v>38</v>
      </c>
      <c r="J362" t="str">
        <f>_xlfn.IFNA(VLOOKUP(C362,merchants!$A$2:$D$41,2,FALSE),"Merchant not found")</f>
        <v>Merchant_037</v>
      </c>
      <c r="K362" t="str">
        <f>_xlfn.IFNA(VLOOKUP(C362,merchants!$A$2:$D$41,3,FALSE),"Merchant not found")</f>
        <v>entertainment</v>
      </c>
      <c r="L362" t="str">
        <f>_xlfn.IFNA(VLOOKUP(C362,merchants!$A$2:$D$41,4,FALSE),"Merchant not found")</f>
        <v>South</v>
      </c>
      <c r="M362" s="2">
        <f>HLOOKUP(G362,Fees!$B$1:$E$2,2,FALSE)</f>
        <v>0</v>
      </c>
      <c r="N362" t="str">
        <f>IF(AND(K362&lt;&gt;"East",GETPIVOTDATA("amount_inr",'Daily Totals'!$A$4,"merchant_name",J362,"Days (transaction_time)",TEXT(D362,"dd-mmm"))&gt;5000),"High-Value Merchant Day", "Normal")</f>
        <v>Normal</v>
      </c>
    </row>
    <row r="363" spans="1:14" x14ac:dyDescent="0.3">
      <c r="A363" t="s">
        <v>376</v>
      </c>
      <c r="B363">
        <v>170</v>
      </c>
      <c r="C363">
        <v>8</v>
      </c>
      <c r="D363" s="1">
        <v>46038.015972222223</v>
      </c>
      <c r="E363" s="8">
        <f t="shared" si="5"/>
        <v>46038</v>
      </c>
      <c r="F363">
        <v>2999</v>
      </c>
      <c r="G363" t="s">
        <v>12</v>
      </c>
      <c r="H363" t="s">
        <v>10</v>
      </c>
      <c r="I363">
        <v>53</v>
      </c>
      <c r="J363" t="str">
        <f>_xlfn.IFNA(VLOOKUP(C363,merchants!$A$2:$D$41,2,FALSE),"Merchant not found")</f>
        <v>Merchant_008</v>
      </c>
      <c r="K363" t="str">
        <f>_xlfn.IFNA(VLOOKUP(C363,merchants!$A$2:$D$41,3,FALSE),"Merchant not found")</f>
        <v>food_delivery</v>
      </c>
      <c r="L363" t="str">
        <f>_xlfn.IFNA(VLOOKUP(C363,merchants!$A$2:$D$41,4,FALSE),"Merchant not found")</f>
        <v>North</v>
      </c>
      <c r="M363" s="2">
        <f>HLOOKUP(G363,Fees!$B$1:$E$2,2,FALSE)</f>
        <v>0</v>
      </c>
      <c r="N363" t="str">
        <f>IF(AND(K363&lt;&gt;"East",GETPIVOTDATA("amount_inr",'Daily Totals'!$A$4,"merchant_name",J363,"Days (transaction_time)",TEXT(D363,"dd-mmm"))&gt;5000),"High-Value Merchant Day", "Normal")</f>
        <v>Normal</v>
      </c>
    </row>
    <row r="364" spans="1:14" x14ac:dyDescent="0.3">
      <c r="A364" t="s">
        <v>377</v>
      </c>
      <c r="B364">
        <v>323</v>
      </c>
      <c r="C364">
        <v>2</v>
      </c>
      <c r="D364" s="1">
        <v>46041.409722222219</v>
      </c>
      <c r="E364" s="8">
        <f t="shared" si="5"/>
        <v>46041</v>
      </c>
      <c r="F364">
        <v>49</v>
      </c>
      <c r="G364" t="s">
        <v>15</v>
      </c>
      <c r="H364" t="s">
        <v>10</v>
      </c>
      <c r="I364">
        <v>76</v>
      </c>
      <c r="J364" t="str">
        <f>_xlfn.IFNA(VLOOKUP(C364,merchants!$A$2:$D$41,2,FALSE),"Merchant not found")</f>
        <v>Merchant_002</v>
      </c>
      <c r="K364" t="str">
        <f>_xlfn.IFNA(VLOOKUP(C364,merchants!$A$2:$D$41,3,FALSE),"Merchant not found")</f>
        <v>grocery</v>
      </c>
      <c r="L364" t="str">
        <f>_xlfn.IFNA(VLOOKUP(C364,merchants!$A$2:$D$41,4,FALSE),"Merchant not found")</f>
        <v>West</v>
      </c>
      <c r="M364" s="2">
        <f>HLOOKUP(G364,Fees!$B$1:$E$2,2,FALSE)</f>
        <v>0.01</v>
      </c>
      <c r="N364" t="str">
        <f>IF(AND(K364&lt;&gt;"East",GETPIVOTDATA("amount_inr",'Daily Totals'!$A$4,"merchant_name",J364,"Days (transaction_time)",TEXT(D364,"dd-mmm"))&gt;5000),"High-Value Merchant Day", "Normal")</f>
        <v>Normal</v>
      </c>
    </row>
    <row r="365" spans="1:14" x14ac:dyDescent="0.3">
      <c r="A365" t="s">
        <v>378</v>
      </c>
      <c r="B365">
        <v>297</v>
      </c>
      <c r="C365">
        <v>37</v>
      </c>
      <c r="D365" s="1">
        <v>46038.361805555556</v>
      </c>
      <c r="E365" s="8">
        <f t="shared" si="5"/>
        <v>46038</v>
      </c>
      <c r="F365">
        <v>2999</v>
      </c>
      <c r="G365" t="s">
        <v>9</v>
      </c>
      <c r="H365" t="s">
        <v>10</v>
      </c>
      <c r="I365">
        <v>29</v>
      </c>
      <c r="J365" t="str">
        <f>_xlfn.IFNA(VLOOKUP(C365,merchants!$A$2:$D$41,2,FALSE),"Merchant not found")</f>
        <v>Merchant_037</v>
      </c>
      <c r="K365" t="str">
        <f>_xlfn.IFNA(VLOOKUP(C365,merchants!$A$2:$D$41,3,FALSE),"Merchant not found")</f>
        <v>entertainment</v>
      </c>
      <c r="L365" t="str">
        <f>_xlfn.IFNA(VLOOKUP(C365,merchants!$A$2:$D$41,4,FALSE),"Merchant not found")</f>
        <v>South</v>
      </c>
      <c r="M365" s="2">
        <f>HLOOKUP(G365,Fees!$B$1:$E$2,2,FALSE)</f>
        <v>1.4999999999999999E-2</v>
      </c>
      <c r="N365" t="str">
        <f>IF(AND(K365&lt;&gt;"East",GETPIVOTDATA("amount_inr",'Daily Totals'!$A$4,"merchant_name",J365,"Days (transaction_time)",TEXT(D365,"dd-mmm"))&gt;5000),"High-Value Merchant Day", "Normal")</f>
        <v>Normal</v>
      </c>
    </row>
    <row r="366" spans="1:14" x14ac:dyDescent="0.3">
      <c r="A366" t="s">
        <v>379</v>
      </c>
      <c r="B366">
        <v>246</v>
      </c>
      <c r="C366">
        <v>11</v>
      </c>
      <c r="D366" s="1">
        <v>46046.067361111112</v>
      </c>
      <c r="E366" s="8">
        <f t="shared" si="5"/>
        <v>46046</v>
      </c>
      <c r="F366">
        <v>299</v>
      </c>
      <c r="G366" t="s">
        <v>12</v>
      </c>
      <c r="H366" t="s">
        <v>10</v>
      </c>
      <c r="I366">
        <v>67</v>
      </c>
      <c r="J366" t="str">
        <f>_xlfn.IFNA(VLOOKUP(C366,merchants!$A$2:$D$41,2,FALSE),"Merchant not found")</f>
        <v>Merchant_011</v>
      </c>
      <c r="K366" t="str">
        <f>_xlfn.IFNA(VLOOKUP(C366,merchants!$A$2:$D$41,3,FALSE),"Merchant not found")</f>
        <v>ecommerce</v>
      </c>
      <c r="L366" t="str">
        <f>_xlfn.IFNA(VLOOKUP(C366,merchants!$A$2:$D$41,4,FALSE),"Merchant not found")</f>
        <v>North</v>
      </c>
      <c r="M366" s="2">
        <f>HLOOKUP(G366,Fees!$B$1:$E$2,2,FALSE)</f>
        <v>0</v>
      </c>
      <c r="N366" t="str">
        <f>IF(AND(K366&lt;&gt;"East",GETPIVOTDATA("amount_inr",'Daily Totals'!$A$4,"merchant_name",J366,"Days (transaction_time)",TEXT(D366,"dd-mmm"))&gt;5000),"High-Value Merchant Day", "Normal")</f>
        <v>Normal</v>
      </c>
    </row>
    <row r="367" spans="1:14" x14ac:dyDescent="0.3">
      <c r="A367" t="s">
        <v>380</v>
      </c>
      <c r="B367">
        <v>195</v>
      </c>
      <c r="C367">
        <v>10</v>
      </c>
      <c r="D367" s="1">
        <v>46043.98541666667</v>
      </c>
      <c r="E367" s="8">
        <f t="shared" si="5"/>
        <v>46043</v>
      </c>
      <c r="F367">
        <v>99</v>
      </c>
      <c r="G367" t="s">
        <v>12</v>
      </c>
      <c r="H367" t="s">
        <v>10</v>
      </c>
      <c r="I367">
        <v>87</v>
      </c>
      <c r="J367" t="str">
        <f>_xlfn.IFNA(VLOOKUP(C367,merchants!$A$2:$D$41,2,FALSE),"Merchant not found")</f>
        <v>Merchant_010</v>
      </c>
      <c r="K367" t="str">
        <f>_xlfn.IFNA(VLOOKUP(C367,merchants!$A$2:$D$41,3,FALSE),"Merchant not found")</f>
        <v>grocery</v>
      </c>
      <c r="L367" t="str">
        <f>_xlfn.IFNA(VLOOKUP(C367,merchants!$A$2:$D$41,4,FALSE),"Merchant not found")</f>
        <v>West</v>
      </c>
      <c r="M367" s="2">
        <f>HLOOKUP(G367,Fees!$B$1:$E$2,2,FALSE)</f>
        <v>0</v>
      </c>
      <c r="N367" t="str">
        <f>IF(AND(K367&lt;&gt;"East",GETPIVOTDATA("amount_inr",'Daily Totals'!$A$4,"merchant_name",J367,"Days (transaction_time)",TEXT(D367,"dd-mmm"))&gt;5000),"High-Value Merchant Day", "Normal")</f>
        <v>Normal</v>
      </c>
    </row>
    <row r="368" spans="1:14" x14ac:dyDescent="0.3">
      <c r="A368" t="s">
        <v>381</v>
      </c>
      <c r="B368">
        <v>57</v>
      </c>
      <c r="C368">
        <v>13</v>
      </c>
      <c r="D368" s="1">
        <v>46030.066666666666</v>
      </c>
      <c r="E368" s="8">
        <f t="shared" si="5"/>
        <v>46030</v>
      </c>
      <c r="F368">
        <v>149</v>
      </c>
      <c r="G368" t="s">
        <v>12</v>
      </c>
      <c r="H368" t="s">
        <v>10</v>
      </c>
      <c r="I368">
        <v>2</v>
      </c>
      <c r="J368" t="str">
        <f>_xlfn.IFNA(VLOOKUP(C368,merchants!$A$2:$D$41,2,FALSE),"Merchant not found")</f>
        <v>Merchant_013</v>
      </c>
      <c r="K368" t="str">
        <f>_xlfn.IFNA(VLOOKUP(C368,merchants!$A$2:$D$41,3,FALSE),"Merchant not found")</f>
        <v>travel</v>
      </c>
      <c r="L368" t="str">
        <f>_xlfn.IFNA(VLOOKUP(C368,merchants!$A$2:$D$41,4,FALSE),"Merchant not found")</f>
        <v>East</v>
      </c>
      <c r="M368" s="2">
        <f>HLOOKUP(G368,Fees!$B$1:$E$2,2,FALSE)</f>
        <v>0</v>
      </c>
      <c r="N368" t="str">
        <f>IF(AND(K368&lt;&gt;"East",GETPIVOTDATA("amount_inr",'Daily Totals'!$A$4,"merchant_name",J368,"Days (transaction_time)",TEXT(D368,"dd-mmm"))&gt;5000),"High-Value Merchant Day", "Normal")</f>
        <v>Normal</v>
      </c>
    </row>
    <row r="369" spans="1:14" x14ac:dyDescent="0.3">
      <c r="A369" t="s">
        <v>382</v>
      </c>
      <c r="B369">
        <v>78</v>
      </c>
      <c r="C369">
        <v>27</v>
      </c>
      <c r="D369" s="1">
        <v>46037.43472222222</v>
      </c>
      <c r="E369" s="8">
        <f t="shared" si="5"/>
        <v>46037</v>
      </c>
      <c r="F369">
        <v>1499</v>
      </c>
      <c r="G369" t="s">
        <v>15</v>
      </c>
      <c r="H369" t="s">
        <v>25</v>
      </c>
      <c r="I369">
        <v>88</v>
      </c>
      <c r="J369" t="str">
        <f>_xlfn.IFNA(VLOOKUP(C369,merchants!$A$2:$D$41,2,FALSE),"Merchant not found")</f>
        <v>Merchant_027</v>
      </c>
      <c r="K369" t="str">
        <f>_xlfn.IFNA(VLOOKUP(C369,merchants!$A$2:$D$41,3,FALSE),"Merchant not found")</f>
        <v>ecommerce</v>
      </c>
      <c r="L369" t="str">
        <f>_xlfn.IFNA(VLOOKUP(C369,merchants!$A$2:$D$41,4,FALSE),"Merchant not found")</f>
        <v>North</v>
      </c>
      <c r="M369" s="2">
        <f>HLOOKUP(G369,Fees!$B$1:$E$2,2,FALSE)</f>
        <v>0.01</v>
      </c>
      <c r="N369" t="str">
        <f>IF(AND(K369&lt;&gt;"East",GETPIVOTDATA("amount_inr",'Daily Totals'!$A$4,"merchant_name",J369,"Days (transaction_time)",TEXT(D369,"dd-mmm"))&gt;5000),"High-Value Merchant Day", "Normal")</f>
        <v>Normal</v>
      </c>
    </row>
    <row r="370" spans="1:14" x14ac:dyDescent="0.3">
      <c r="A370" t="s">
        <v>383</v>
      </c>
      <c r="B370">
        <v>314</v>
      </c>
      <c r="C370">
        <v>31</v>
      </c>
      <c r="D370" s="1">
        <v>46029.563888888886</v>
      </c>
      <c r="E370" s="8">
        <f t="shared" si="5"/>
        <v>46029</v>
      </c>
      <c r="F370">
        <v>49</v>
      </c>
      <c r="G370" t="s">
        <v>12</v>
      </c>
      <c r="H370" t="s">
        <v>38</v>
      </c>
      <c r="I370">
        <v>94</v>
      </c>
      <c r="J370" t="str">
        <f>_xlfn.IFNA(VLOOKUP(C370,merchants!$A$2:$D$41,2,FALSE),"Merchant not found")</f>
        <v>Merchant_031</v>
      </c>
      <c r="K370" t="str">
        <f>_xlfn.IFNA(VLOOKUP(C370,merchants!$A$2:$D$41,3,FALSE),"Merchant not found")</f>
        <v>bill_payment</v>
      </c>
      <c r="L370" t="str">
        <f>_xlfn.IFNA(VLOOKUP(C370,merchants!$A$2:$D$41,4,FALSE),"Merchant not found")</f>
        <v>East</v>
      </c>
      <c r="M370" s="2">
        <f>HLOOKUP(G370,Fees!$B$1:$E$2,2,FALSE)</f>
        <v>0</v>
      </c>
      <c r="N370" t="str">
        <f>IF(AND(K370&lt;&gt;"East",GETPIVOTDATA("amount_inr",'Daily Totals'!$A$4,"merchant_name",J370,"Days (transaction_time)",TEXT(D370,"dd-mmm"))&gt;5000),"High-Value Merchant Day", "Normal")</f>
        <v>Normal</v>
      </c>
    </row>
    <row r="371" spans="1:14" x14ac:dyDescent="0.3">
      <c r="A371" t="s">
        <v>384</v>
      </c>
      <c r="B371">
        <v>71</v>
      </c>
      <c r="C371">
        <v>34</v>
      </c>
      <c r="D371" s="1">
        <v>46046.072916666664</v>
      </c>
      <c r="E371" s="8">
        <f t="shared" si="5"/>
        <v>46046</v>
      </c>
      <c r="F371">
        <v>499</v>
      </c>
      <c r="G371" t="s">
        <v>12</v>
      </c>
      <c r="H371" t="s">
        <v>10</v>
      </c>
      <c r="I371">
        <v>26</v>
      </c>
      <c r="J371" t="str">
        <f>_xlfn.IFNA(VLOOKUP(C371,merchants!$A$2:$D$41,2,FALSE),"Merchant not found")</f>
        <v>Merchant_034</v>
      </c>
      <c r="K371" t="str">
        <f>_xlfn.IFNA(VLOOKUP(C371,merchants!$A$2:$D$41,3,FALSE),"Merchant not found")</f>
        <v>travel</v>
      </c>
      <c r="L371" t="str">
        <f>_xlfn.IFNA(VLOOKUP(C371,merchants!$A$2:$D$41,4,FALSE),"Merchant not found")</f>
        <v>South</v>
      </c>
      <c r="M371" s="2">
        <f>HLOOKUP(G371,Fees!$B$1:$E$2,2,FALSE)</f>
        <v>0</v>
      </c>
      <c r="N371" t="str">
        <f>IF(AND(K371&lt;&gt;"East",GETPIVOTDATA("amount_inr",'Daily Totals'!$A$4,"merchant_name",J371,"Days (transaction_time)",TEXT(D371,"dd-mmm"))&gt;5000),"High-Value Merchant Day", "Normal")</f>
        <v>Normal</v>
      </c>
    </row>
    <row r="372" spans="1:14" x14ac:dyDescent="0.3">
      <c r="A372" t="s">
        <v>385</v>
      </c>
      <c r="B372">
        <v>245</v>
      </c>
      <c r="C372">
        <v>34</v>
      </c>
      <c r="D372" s="1">
        <v>46040.445833333331</v>
      </c>
      <c r="E372" s="8">
        <f t="shared" si="5"/>
        <v>46040</v>
      </c>
      <c r="F372">
        <v>99</v>
      </c>
      <c r="G372" t="s">
        <v>12</v>
      </c>
      <c r="H372" t="s">
        <v>10</v>
      </c>
      <c r="I372">
        <v>48</v>
      </c>
      <c r="J372" t="str">
        <f>_xlfn.IFNA(VLOOKUP(C372,merchants!$A$2:$D$41,2,FALSE),"Merchant not found")</f>
        <v>Merchant_034</v>
      </c>
      <c r="K372" t="str">
        <f>_xlfn.IFNA(VLOOKUP(C372,merchants!$A$2:$D$41,3,FALSE),"Merchant not found")</f>
        <v>travel</v>
      </c>
      <c r="L372" t="str">
        <f>_xlfn.IFNA(VLOOKUP(C372,merchants!$A$2:$D$41,4,FALSE),"Merchant not found")</f>
        <v>South</v>
      </c>
      <c r="M372" s="2">
        <f>HLOOKUP(G372,Fees!$B$1:$E$2,2,FALSE)</f>
        <v>0</v>
      </c>
      <c r="N372" t="str">
        <f>IF(AND(K372&lt;&gt;"East",GETPIVOTDATA("amount_inr",'Daily Totals'!$A$4,"merchant_name",J372,"Days (transaction_time)",TEXT(D372,"dd-mmm"))&gt;5000),"High-Value Merchant Day", "Normal")</f>
        <v>Normal</v>
      </c>
    </row>
    <row r="373" spans="1:14" x14ac:dyDescent="0.3">
      <c r="A373" t="s">
        <v>386</v>
      </c>
      <c r="B373">
        <v>273</v>
      </c>
      <c r="C373">
        <v>22</v>
      </c>
      <c r="D373" s="1">
        <v>46033.228472222225</v>
      </c>
      <c r="E373" s="8">
        <f t="shared" si="5"/>
        <v>46033</v>
      </c>
      <c r="F373">
        <v>299</v>
      </c>
      <c r="G373" t="s">
        <v>9</v>
      </c>
      <c r="H373" t="s">
        <v>10</v>
      </c>
      <c r="I373">
        <v>69</v>
      </c>
      <c r="J373" t="str">
        <f>_xlfn.IFNA(VLOOKUP(C373,merchants!$A$2:$D$41,2,FALSE),"Merchant not found")</f>
        <v>Merchant_022</v>
      </c>
      <c r="K373" t="str">
        <f>_xlfn.IFNA(VLOOKUP(C373,merchants!$A$2:$D$41,3,FALSE),"Merchant not found")</f>
        <v>travel</v>
      </c>
      <c r="L373" t="str">
        <f>_xlfn.IFNA(VLOOKUP(C373,merchants!$A$2:$D$41,4,FALSE),"Merchant not found")</f>
        <v>South</v>
      </c>
      <c r="M373" s="2">
        <f>HLOOKUP(G373,Fees!$B$1:$E$2,2,FALSE)</f>
        <v>1.4999999999999999E-2</v>
      </c>
      <c r="N373" t="str">
        <f>IF(AND(K373&lt;&gt;"East",GETPIVOTDATA("amount_inr",'Daily Totals'!$A$4,"merchant_name",J373,"Days (transaction_time)",TEXT(D373,"dd-mmm"))&gt;5000),"High-Value Merchant Day", "Normal")</f>
        <v>Normal</v>
      </c>
    </row>
    <row r="374" spans="1:14" x14ac:dyDescent="0.3">
      <c r="A374" t="s">
        <v>387</v>
      </c>
      <c r="B374">
        <v>349</v>
      </c>
      <c r="C374">
        <v>17</v>
      </c>
      <c r="D374" s="1">
        <v>46034.90902777778</v>
      </c>
      <c r="E374" s="8">
        <f t="shared" si="5"/>
        <v>46034</v>
      </c>
      <c r="F374">
        <v>1499</v>
      </c>
      <c r="G374" t="s">
        <v>12</v>
      </c>
      <c r="H374" t="s">
        <v>10</v>
      </c>
      <c r="I374">
        <v>78</v>
      </c>
      <c r="J374" t="str">
        <f>_xlfn.IFNA(VLOOKUP(C374,merchants!$A$2:$D$41,2,FALSE),"Merchant not found")</f>
        <v>Merchant_017</v>
      </c>
      <c r="K374" t="str">
        <f>_xlfn.IFNA(VLOOKUP(C374,merchants!$A$2:$D$41,3,FALSE),"Merchant not found")</f>
        <v>grocery</v>
      </c>
      <c r="L374" t="str">
        <f>_xlfn.IFNA(VLOOKUP(C374,merchants!$A$2:$D$41,4,FALSE),"Merchant not found")</f>
        <v>North</v>
      </c>
      <c r="M374" s="2">
        <f>HLOOKUP(G374,Fees!$B$1:$E$2,2,FALSE)</f>
        <v>0</v>
      </c>
      <c r="N374" t="str">
        <f>IF(AND(K374&lt;&gt;"East",GETPIVOTDATA("amount_inr",'Daily Totals'!$A$4,"merchant_name",J374,"Days (transaction_time)",TEXT(D374,"dd-mmm"))&gt;5000),"High-Value Merchant Day", "Normal")</f>
        <v>Normal</v>
      </c>
    </row>
    <row r="375" spans="1:14" x14ac:dyDescent="0.3">
      <c r="A375" t="s">
        <v>388</v>
      </c>
      <c r="B375">
        <v>143</v>
      </c>
      <c r="C375">
        <v>36</v>
      </c>
      <c r="D375" s="1">
        <v>46038.260416666664</v>
      </c>
      <c r="E375" s="8">
        <f t="shared" si="5"/>
        <v>46038</v>
      </c>
      <c r="F375">
        <v>1499</v>
      </c>
      <c r="G375" t="s">
        <v>15</v>
      </c>
      <c r="H375" t="s">
        <v>10</v>
      </c>
      <c r="I375">
        <v>38</v>
      </c>
      <c r="J375" t="str">
        <f>_xlfn.IFNA(VLOOKUP(C375,merchants!$A$2:$D$41,2,FALSE),"Merchant not found")</f>
        <v>Merchant_036</v>
      </c>
      <c r="K375" t="str">
        <f>_xlfn.IFNA(VLOOKUP(C375,merchants!$A$2:$D$41,3,FALSE),"Merchant not found")</f>
        <v>entertainment</v>
      </c>
      <c r="L375" t="str">
        <f>_xlfn.IFNA(VLOOKUP(C375,merchants!$A$2:$D$41,4,FALSE),"Merchant not found")</f>
        <v>East</v>
      </c>
      <c r="M375" s="2">
        <f>HLOOKUP(G375,Fees!$B$1:$E$2,2,FALSE)</f>
        <v>0.01</v>
      </c>
      <c r="N375" t="str">
        <f>IF(AND(K375&lt;&gt;"East",GETPIVOTDATA("amount_inr",'Daily Totals'!$A$4,"merchant_name",J375,"Days (transaction_time)",TEXT(D375,"dd-mmm"))&gt;5000),"High-Value Merchant Day", "Normal")</f>
        <v>Normal</v>
      </c>
    </row>
    <row r="376" spans="1:14" x14ac:dyDescent="0.3">
      <c r="A376" t="s">
        <v>389</v>
      </c>
      <c r="B376">
        <v>148</v>
      </c>
      <c r="C376">
        <v>14</v>
      </c>
      <c r="D376" s="1">
        <v>46030.40902777778</v>
      </c>
      <c r="E376" s="8">
        <f t="shared" si="5"/>
        <v>46030</v>
      </c>
      <c r="F376">
        <v>799</v>
      </c>
      <c r="G376" t="s">
        <v>9</v>
      </c>
      <c r="H376" t="s">
        <v>10</v>
      </c>
      <c r="I376">
        <v>88</v>
      </c>
      <c r="J376" t="str">
        <f>_xlfn.IFNA(VLOOKUP(C376,merchants!$A$2:$D$41,2,FALSE),"Merchant not found")</f>
        <v>Merchant_014</v>
      </c>
      <c r="K376" t="str">
        <f>_xlfn.IFNA(VLOOKUP(C376,merchants!$A$2:$D$41,3,FALSE),"Merchant not found")</f>
        <v>grocery</v>
      </c>
      <c r="L376" t="str">
        <f>_xlfn.IFNA(VLOOKUP(C376,merchants!$A$2:$D$41,4,FALSE),"Merchant not found")</f>
        <v>East</v>
      </c>
      <c r="M376" s="2">
        <f>HLOOKUP(G376,Fees!$B$1:$E$2,2,FALSE)</f>
        <v>1.4999999999999999E-2</v>
      </c>
      <c r="N376" t="str">
        <f>IF(AND(K376&lt;&gt;"East",GETPIVOTDATA("amount_inr",'Daily Totals'!$A$4,"merchant_name",J376,"Days (transaction_time)",TEXT(D376,"dd-mmm"))&gt;5000),"High-Value Merchant Day", "Normal")</f>
        <v>Normal</v>
      </c>
    </row>
    <row r="377" spans="1:14" x14ac:dyDescent="0.3">
      <c r="A377" t="s">
        <v>390</v>
      </c>
      <c r="B377">
        <v>246</v>
      </c>
      <c r="C377">
        <v>23</v>
      </c>
      <c r="D377" s="1">
        <v>46045.638888888891</v>
      </c>
      <c r="E377" s="8">
        <f t="shared" si="5"/>
        <v>46045</v>
      </c>
      <c r="F377">
        <v>49</v>
      </c>
      <c r="G377" t="s">
        <v>12</v>
      </c>
      <c r="H377" t="s">
        <v>10</v>
      </c>
      <c r="I377">
        <v>71</v>
      </c>
      <c r="J377" t="str">
        <f>_xlfn.IFNA(VLOOKUP(C377,merchants!$A$2:$D$41,2,FALSE),"Merchant not found")</f>
        <v>Merchant_023</v>
      </c>
      <c r="K377" t="str">
        <f>_xlfn.IFNA(VLOOKUP(C377,merchants!$A$2:$D$41,3,FALSE),"Merchant not found")</f>
        <v>travel</v>
      </c>
      <c r="L377" t="str">
        <f>_xlfn.IFNA(VLOOKUP(C377,merchants!$A$2:$D$41,4,FALSE),"Merchant not found")</f>
        <v>North</v>
      </c>
      <c r="M377" s="2">
        <f>HLOOKUP(G377,Fees!$B$1:$E$2,2,FALSE)</f>
        <v>0</v>
      </c>
      <c r="N377" t="str">
        <f>IF(AND(K377&lt;&gt;"East",GETPIVOTDATA("amount_inr",'Daily Totals'!$A$4,"merchant_name",J377,"Days (transaction_time)",TEXT(D377,"dd-mmm"))&gt;5000),"High-Value Merchant Day", "Normal")</f>
        <v>Normal</v>
      </c>
    </row>
    <row r="378" spans="1:14" x14ac:dyDescent="0.3">
      <c r="A378" t="s">
        <v>391</v>
      </c>
      <c r="B378">
        <v>148</v>
      </c>
      <c r="C378">
        <v>8</v>
      </c>
      <c r="D378" s="1">
        <v>46052.970138888886</v>
      </c>
      <c r="E378" s="8">
        <f t="shared" si="5"/>
        <v>46052</v>
      </c>
      <c r="F378">
        <v>99</v>
      </c>
      <c r="G378" t="s">
        <v>9</v>
      </c>
      <c r="H378" t="s">
        <v>10</v>
      </c>
      <c r="I378">
        <v>73</v>
      </c>
      <c r="J378" t="str">
        <f>_xlfn.IFNA(VLOOKUP(C378,merchants!$A$2:$D$41,2,FALSE),"Merchant not found")</f>
        <v>Merchant_008</v>
      </c>
      <c r="K378" t="str">
        <f>_xlfn.IFNA(VLOOKUP(C378,merchants!$A$2:$D$41,3,FALSE),"Merchant not found")</f>
        <v>food_delivery</v>
      </c>
      <c r="L378" t="str">
        <f>_xlfn.IFNA(VLOOKUP(C378,merchants!$A$2:$D$41,4,FALSE),"Merchant not found")</f>
        <v>North</v>
      </c>
      <c r="M378" s="2">
        <f>HLOOKUP(G378,Fees!$B$1:$E$2,2,FALSE)</f>
        <v>1.4999999999999999E-2</v>
      </c>
      <c r="N378" t="str">
        <f>IF(AND(K378&lt;&gt;"East",GETPIVOTDATA("amount_inr",'Daily Totals'!$A$4,"merchant_name",J378,"Days (transaction_time)",TEXT(D378,"dd-mmm"))&gt;5000),"High-Value Merchant Day", "Normal")</f>
        <v>Normal</v>
      </c>
    </row>
    <row r="379" spans="1:14" x14ac:dyDescent="0.3">
      <c r="A379" t="s">
        <v>392</v>
      </c>
      <c r="B379">
        <v>203</v>
      </c>
      <c r="C379">
        <v>23</v>
      </c>
      <c r="D379" s="1">
        <v>46044.724999999999</v>
      </c>
      <c r="E379" s="8">
        <f t="shared" si="5"/>
        <v>46044</v>
      </c>
      <c r="F379">
        <v>49</v>
      </c>
      <c r="G379" t="s">
        <v>12</v>
      </c>
      <c r="H379" t="s">
        <v>10</v>
      </c>
      <c r="I379">
        <v>98</v>
      </c>
      <c r="J379" t="str">
        <f>_xlfn.IFNA(VLOOKUP(C379,merchants!$A$2:$D$41,2,FALSE),"Merchant not found")</f>
        <v>Merchant_023</v>
      </c>
      <c r="K379" t="str">
        <f>_xlfn.IFNA(VLOOKUP(C379,merchants!$A$2:$D$41,3,FALSE),"Merchant not found")</f>
        <v>travel</v>
      </c>
      <c r="L379" t="str">
        <f>_xlfn.IFNA(VLOOKUP(C379,merchants!$A$2:$D$41,4,FALSE),"Merchant not found")</f>
        <v>North</v>
      </c>
      <c r="M379" s="2">
        <f>HLOOKUP(G379,Fees!$B$1:$E$2,2,FALSE)</f>
        <v>0</v>
      </c>
      <c r="N379" t="str">
        <f>IF(AND(K379&lt;&gt;"East",GETPIVOTDATA("amount_inr",'Daily Totals'!$A$4,"merchant_name",J379,"Days (transaction_time)",TEXT(D379,"dd-mmm"))&gt;5000),"High-Value Merchant Day", "Normal")</f>
        <v>Normal</v>
      </c>
    </row>
    <row r="380" spans="1:14" x14ac:dyDescent="0.3">
      <c r="A380" t="s">
        <v>393</v>
      </c>
      <c r="B380">
        <v>22</v>
      </c>
      <c r="C380">
        <v>19</v>
      </c>
      <c r="D380" s="1">
        <v>46048.179166666669</v>
      </c>
      <c r="E380" s="8">
        <f t="shared" si="5"/>
        <v>46048</v>
      </c>
      <c r="F380">
        <v>49</v>
      </c>
      <c r="G380" t="s">
        <v>24</v>
      </c>
      <c r="H380" t="s">
        <v>10</v>
      </c>
      <c r="I380">
        <v>91</v>
      </c>
      <c r="J380" t="str">
        <f>_xlfn.IFNA(VLOOKUP(C380,merchants!$A$2:$D$41,2,FALSE),"Merchant not found")</f>
        <v>Merchant_019</v>
      </c>
      <c r="K380" t="str">
        <f>_xlfn.IFNA(VLOOKUP(C380,merchants!$A$2:$D$41,3,FALSE),"Merchant not found")</f>
        <v>grocery</v>
      </c>
      <c r="L380" t="str">
        <f>_xlfn.IFNA(VLOOKUP(C380,merchants!$A$2:$D$41,4,FALSE),"Merchant not found")</f>
        <v>North</v>
      </c>
      <c r="M380" s="2">
        <f>HLOOKUP(G380,Fees!$B$1:$E$2,2,FALSE)</f>
        <v>0.02</v>
      </c>
      <c r="N380" t="str">
        <f>IF(AND(K380&lt;&gt;"East",GETPIVOTDATA("amount_inr",'Daily Totals'!$A$4,"merchant_name",J380,"Days (transaction_time)",TEXT(D380,"dd-mmm"))&gt;5000),"High-Value Merchant Day", "Normal")</f>
        <v>Normal</v>
      </c>
    </row>
    <row r="381" spans="1:14" x14ac:dyDescent="0.3">
      <c r="A381" t="s">
        <v>394</v>
      </c>
      <c r="B381">
        <v>227</v>
      </c>
      <c r="C381">
        <v>17</v>
      </c>
      <c r="D381" s="1">
        <v>46025.499305555553</v>
      </c>
      <c r="E381" s="8">
        <f t="shared" si="5"/>
        <v>46025</v>
      </c>
      <c r="F381">
        <v>299</v>
      </c>
      <c r="G381" t="s">
        <v>9</v>
      </c>
      <c r="H381" t="s">
        <v>10</v>
      </c>
      <c r="I381">
        <v>95</v>
      </c>
      <c r="J381" t="str">
        <f>_xlfn.IFNA(VLOOKUP(C381,merchants!$A$2:$D$41,2,FALSE),"Merchant not found")</f>
        <v>Merchant_017</v>
      </c>
      <c r="K381" t="str">
        <f>_xlfn.IFNA(VLOOKUP(C381,merchants!$A$2:$D$41,3,FALSE),"Merchant not found")</f>
        <v>grocery</v>
      </c>
      <c r="L381" t="str">
        <f>_xlfn.IFNA(VLOOKUP(C381,merchants!$A$2:$D$41,4,FALSE),"Merchant not found")</f>
        <v>North</v>
      </c>
      <c r="M381" s="2">
        <f>HLOOKUP(G381,Fees!$B$1:$E$2,2,FALSE)</f>
        <v>1.4999999999999999E-2</v>
      </c>
      <c r="N381" t="str">
        <f>IF(AND(K381&lt;&gt;"East",GETPIVOTDATA("amount_inr",'Daily Totals'!$A$4,"merchant_name",J381,"Days (transaction_time)",TEXT(D381,"dd-mmm"))&gt;5000),"High-Value Merchant Day", "Normal")</f>
        <v>Normal</v>
      </c>
    </row>
    <row r="382" spans="1:14" x14ac:dyDescent="0.3">
      <c r="A382" t="s">
        <v>395</v>
      </c>
      <c r="B382">
        <v>276</v>
      </c>
      <c r="C382">
        <v>18</v>
      </c>
      <c r="D382" s="1">
        <v>46038.258333333331</v>
      </c>
      <c r="E382" s="8">
        <f t="shared" si="5"/>
        <v>46038</v>
      </c>
      <c r="F382">
        <v>149</v>
      </c>
      <c r="G382" t="s">
        <v>9</v>
      </c>
      <c r="H382" t="s">
        <v>10</v>
      </c>
      <c r="I382">
        <v>71</v>
      </c>
      <c r="J382" t="str">
        <f>_xlfn.IFNA(VLOOKUP(C382,merchants!$A$2:$D$41,2,FALSE),"Merchant not found")</f>
        <v>Merchant_018</v>
      </c>
      <c r="K382" t="str">
        <f>_xlfn.IFNA(VLOOKUP(C382,merchants!$A$2:$D$41,3,FALSE),"Merchant not found")</f>
        <v>grocery</v>
      </c>
      <c r="L382" t="str">
        <f>_xlfn.IFNA(VLOOKUP(C382,merchants!$A$2:$D$41,4,FALSE),"Merchant not found")</f>
        <v>West</v>
      </c>
      <c r="M382" s="2">
        <f>HLOOKUP(G382,Fees!$B$1:$E$2,2,FALSE)</f>
        <v>1.4999999999999999E-2</v>
      </c>
      <c r="N382" t="str">
        <f>IF(AND(K382&lt;&gt;"East",GETPIVOTDATA("amount_inr",'Daily Totals'!$A$4,"merchant_name",J382,"Days (transaction_time)",TEXT(D382,"dd-mmm"))&gt;5000),"High-Value Merchant Day", "Normal")</f>
        <v>Normal</v>
      </c>
    </row>
    <row r="383" spans="1:14" x14ac:dyDescent="0.3">
      <c r="A383" t="s">
        <v>396</v>
      </c>
      <c r="B383">
        <v>56</v>
      </c>
      <c r="C383">
        <v>40</v>
      </c>
      <c r="D383" s="1">
        <v>46045.338888888888</v>
      </c>
      <c r="E383" s="8">
        <f t="shared" si="5"/>
        <v>46045</v>
      </c>
      <c r="F383">
        <v>99</v>
      </c>
      <c r="G383" t="s">
        <v>24</v>
      </c>
      <c r="H383" t="s">
        <v>10</v>
      </c>
      <c r="I383">
        <v>94</v>
      </c>
      <c r="J383" t="str">
        <f>_xlfn.IFNA(VLOOKUP(C383,merchants!$A$2:$D$41,2,FALSE),"Merchant not found")</f>
        <v>Merchant_040</v>
      </c>
      <c r="K383" t="str">
        <f>_xlfn.IFNA(VLOOKUP(C383,merchants!$A$2:$D$41,3,FALSE),"Merchant not found")</f>
        <v>entertainment</v>
      </c>
      <c r="L383" t="str">
        <f>_xlfn.IFNA(VLOOKUP(C383,merchants!$A$2:$D$41,4,FALSE),"Merchant not found")</f>
        <v>South</v>
      </c>
      <c r="M383" s="2">
        <f>HLOOKUP(G383,Fees!$B$1:$E$2,2,FALSE)</f>
        <v>0.02</v>
      </c>
      <c r="N383" t="str">
        <f>IF(AND(K383&lt;&gt;"East",GETPIVOTDATA("amount_inr",'Daily Totals'!$A$4,"merchant_name",J383,"Days (transaction_time)",TEXT(D383,"dd-mmm"))&gt;5000),"High-Value Merchant Day", "Normal")</f>
        <v>Normal</v>
      </c>
    </row>
    <row r="384" spans="1:14" x14ac:dyDescent="0.3">
      <c r="A384" t="s">
        <v>397</v>
      </c>
      <c r="B384">
        <v>26</v>
      </c>
      <c r="C384">
        <v>34</v>
      </c>
      <c r="D384" s="1">
        <v>46041.302083333336</v>
      </c>
      <c r="E384" s="8">
        <f t="shared" si="5"/>
        <v>46041</v>
      </c>
      <c r="F384">
        <v>499</v>
      </c>
      <c r="G384" t="s">
        <v>24</v>
      </c>
      <c r="H384" t="s">
        <v>10</v>
      </c>
      <c r="I384">
        <v>28</v>
      </c>
      <c r="J384" t="str">
        <f>_xlfn.IFNA(VLOOKUP(C384,merchants!$A$2:$D$41,2,FALSE),"Merchant not found")</f>
        <v>Merchant_034</v>
      </c>
      <c r="K384" t="str">
        <f>_xlfn.IFNA(VLOOKUP(C384,merchants!$A$2:$D$41,3,FALSE),"Merchant not found")</f>
        <v>travel</v>
      </c>
      <c r="L384" t="str">
        <f>_xlfn.IFNA(VLOOKUP(C384,merchants!$A$2:$D$41,4,FALSE),"Merchant not found")</f>
        <v>South</v>
      </c>
      <c r="M384" s="2">
        <f>HLOOKUP(G384,Fees!$B$1:$E$2,2,FALSE)</f>
        <v>0.02</v>
      </c>
      <c r="N384" t="str">
        <f>IF(AND(K384&lt;&gt;"East",GETPIVOTDATA("amount_inr",'Daily Totals'!$A$4,"merchant_name",J384,"Days (transaction_time)",TEXT(D384,"dd-mmm"))&gt;5000),"High-Value Merchant Day", "Normal")</f>
        <v>Normal</v>
      </c>
    </row>
    <row r="385" spans="1:14" x14ac:dyDescent="0.3">
      <c r="A385" t="s">
        <v>398</v>
      </c>
      <c r="B385">
        <v>52</v>
      </c>
      <c r="C385">
        <v>27</v>
      </c>
      <c r="D385" s="1">
        <v>46043.293749999997</v>
      </c>
      <c r="E385" s="8">
        <f t="shared" si="5"/>
        <v>46043</v>
      </c>
      <c r="F385">
        <v>499</v>
      </c>
      <c r="G385" t="s">
        <v>24</v>
      </c>
      <c r="H385" t="s">
        <v>10</v>
      </c>
      <c r="I385">
        <v>42</v>
      </c>
      <c r="J385" t="str">
        <f>_xlfn.IFNA(VLOOKUP(C385,merchants!$A$2:$D$41,2,FALSE),"Merchant not found")</f>
        <v>Merchant_027</v>
      </c>
      <c r="K385" t="str">
        <f>_xlfn.IFNA(VLOOKUP(C385,merchants!$A$2:$D$41,3,FALSE),"Merchant not found")</f>
        <v>ecommerce</v>
      </c>
      <c r="L385" t="str">
        <f>_xlfn.IFNA(VLOOKUP(C385,merchants!$A$2:$D$41,4,FALSE),"Merchant not found")</f>
        <v>North</v>
      </c>
      <c r="M385" s="2">
        <f>HLOOKUP(G385,Fees!$B$1:$E$2,2,FALSE)</f>
        <v>0.02</v>
      </c>
      <c r="N385" t="str">
        <f>IF(AND(K385&lt;&gt;"East",GETPIVOTDATA("amount_inr",'Daily Totals'!$A$4,"merchant_name",J385,"Days (transaction_time)",TEXT(D385,"dd-mmm"))&gt;5000),"High-Value Merchant Day", "Normal")</f>
        <v>Normal</v>
      </c>
    </row>
    <row r="386" spans="1:14" x14ac:dyDescent="0.3">
      <c r="A386" t="s">
        <v>399</v>
      </c>
      <c r="B386">
        <v>349</v>
      </c>
      <c r="C386">
        <v>9</v>
      </c>
      <c r="D386" s="1">
        <v>46045.629166666666</v>
      </c>
      <c r="E386" s="8">
        <f t="shared" si="5"/>
        <v>46045</v>
      </c>
      <c r="F386">
        <v>499</v>
      </c>
      <c r="G386" t="s">
        <v>9</v>
      </c>
      <c r="H386" t="s">
        <v>10</v>
      </c>
      <c r="I386">
        <v>0</v>
      </c>
      <c r="J386" t="str">
        <f>_xlfn.IFNA(VLOOKUP(C386,merchants!$A$2:$D$41,2,FALSE),"Merchant not found")</f>
        <v>Merchant_009</v>
      </c>
      <c r="K386" t="str">
        <f>_xlfn.IFNA(VLOOKUP(C386,merchants!$A$2:$D$41,3,FALSE),"Merchant not found")</f>
        <v>ecommerce</v>
      </c>
      <c r="L386" t="str">
        <f>_xlfn.IFNA(VLOOKUP(C386,merchants!$A$2:$D$41,4,FALSE),"Merchant not found")</f>
        <v>North</v>
      </c>
      <c r="M386" s="2">
        <f>HLOOKUP(G386,Fees!$B$1:$E$2,2,FALSE)</f>
        <v>1.4999999999999999E-2</v>
      </c>
      <c r="N386" t="str">
        <f>IF(AND(K386&lt;&gt;"East",GETPIVOTDATA("amount_inr",'Daily Totals'!$A$4,"merchant_name",J386,"Days (transaction_time)",TEXT(D386,"dd-mmm"))&gt;5000),"High-Value Merchant Day", "Normal")</f>
        <v>Normal</v>
      </c>
    </row>
    <row r="387" spans="1:14" x14ac:dyDescent="0.3">
      <c r="A387" t="s">
        <v>400</v>
      </c>
      <c r="B387">
        <v>335</v>
      </c>
      <c r="C387">
        <v>31</v>
      </c>
      <c r="D387" s="1">
        <v>46040.226388888892</v>
      </c>
      <c r="E387" s="8">
        <f t="shared" ref="E387:E450" si="6">INT(D387)</f>
        <v>46040</v>
      </c>
      <c r="F387">
        <v>49</v>
      </c>
      <c r="G387" t="s">
        <v>24</v>
      </c>
      <c r="H387" t="s">
        <v>10</v>
      </c>
      <c r="I387">
        <v>61</v>
      </c>
      <c r="J387" t="str">
        <f>_xlfn.IFNA(VLOOKUP(C387,merchants!$A$2:$D$41,2,FALSE),"Merchant not found")</f>
        <v>Merchant_031</v>
      </c>
      <c r="K387" t="str">
        <f>_xlfn.IFNA(VLOOKUP(C387,merchants!$A$2:$D$41,3,FALSE),"Merchant not found")</f>
        <v>bill_payment</v>
      </c>
      <c r="L387" t="str">
        <f>_xlfn.IFNA(VLOOKUP(C387,merchants!$A$2:$D$41,4,FALSE),"Merchant not found")</f>
        <v>East</v>
      </c>
      <c r="M387" s="2">
        <f>HLOOKUP(G387,Fees!$B$1:$E$2,2,FALSE)</f>
        <v>0.02</v>
      </c>
      <c r="N387" t="str">
        <f>IF(AND(K387&lt;&gt;"East",GETPIVOTDATA("amount_inr",'Daily Totals'!$A$4,"merchant_name",J387,"Days (transaction_time)",TEXT(D387,"dd-mmm"))&gt;5000),"High-Value Merchant Day", "Normal")</f>
        <v>Normal</v>
      </c>
    </row>
    <row r="388" spans="1:14" x14ac:dyDescent="0.3">
      <c r="A388" t="s">
        <v>401</v>
      </c>
      <c r="B388">
        <v>148</v>
      </c>
      <c r="C388">
        <v>21</v>
      </c>
      <c r="D388" s="1">
        <v>46043.283333333333</v>
      </c>
      <c r="E388" s="8">
        <f t="shared" si="6"/>
        <v>46043</v>
      </c>
      <c r="F388">
        <v>49</v>
      </c>
      <c r="G388" t="s">
        <v>24</v>
      </c>
      <c r="H388" t="s">
        <v>10</v>
      </c>
      <c r="I388">
        <v>36</v>
      </c>
      <c r="J388" t="str">
        <f>_xlfn.IFNA(VLOOKUP(C388,merchants!$A$2:$D$41,2,FALSE),"Merchant not found")</f>
        <v>Merchant_021</v>
      </c>
      <c r="K388" t="str">
        <f>_xlfn.IFNA(VLOOKUP(C388,merchants!$A$2:$D$41,3,FALSE),"Merchant not found")</f>
        <v>food_delivery</v>
      </c>
      <c r="L388" t="str">
        <f>_xlfn.IFNA(VLOOKUP(C388,merchants!$A$2:$D$41,4,FALSE),"Merchant not found")</f>
        <v>East</v>
      </c>
      <c r="M388" s="2">
        <f>HLOOKUP(G388,Fees!$B$1:$E$2,2,FALSE)</f>
        <v>0.02</v>
      </c>
      <c r="N388" t="str">
        <f>IF(AND(K388&lt;&gt;"East",GETPIVOTDATA("amount_inr",'Daily Totals'!$A$4,"merchant_name",J388,"Days (transaction_time)",TEXT(D388,"dd-mmm"))&gt;5000),"High-Value Merchant Day", "Normal")</f>
        <v>Normal</v>
      </c>
    </row>
    <row r="389" spans="1:14" x14ac:dyDescent="0.3">
      <c r="A389" t="s">
        <v>402</v>
      </c>
      <c r="B389">
        <v>46</v>
      </c>
      <c r="C389">
        <v>37</v>
      </c>
      <c r="D389" s="1">
        <v>46043.081944444442</v>
      </c>
      <c r="E389" s="8">
        <f t="shared" si="6"/>
        <v>46043</v>
      </c>
      <c r="F389">
        <v>99</v>
      </c>
      <c r="G389" t="s">
        <v>9</v>
      </c>
      <c r="H389" t="s">
        <v>10</v>
      </c>
      <c r="I389">
        <v>29</v>
      </c>
      <c r="J389" t="str">
        <f>_xlfn.IFNA(VLOOKUP(C389,merchants!$A$2:$D$41,2,FALSE),"Merchant not found")</f>
        <v>Merchant_037</v>
      </c>
      <c r="K389" t="str">
        <f>_xlfn.IFNA(VLOOKUP(C389,merchants!$A$2:$D$41,3,FALSE),"Merchant not found")</f>
        <v>entertainment</v>
      </c>
      <c r="L389" t="str">
        <f>_xlfn.IFNA(VLOOKUP(C389,merchants!$A$2:$D$41,4,FALSE),"Merchant not found")</f>
        <v>South</v>
      </c>
      <c r="M389" s="2">
        <f>HLOOKUP(G389,Fees!$B$1:$E$2,2,FALSE)</f>
        <v>1.4999999999999999E-2</v>
      </c>
      <c r="N389" t="str">
        <f>IF(AND(K389&lt;&gt;"East",GETPIVOTDATA("amount_inr",'Daily Totals'!$A$4,"merchant_name",J389,"Days (transaction_time)",TEXT(D389,"dd-mmm"))&gt;5000),"High-Value Merchant Day", "Normal")</f>
        <v>Normal</v>
      </c>
    </row>
    <row r="390" spans="1:14" x14ac:dyDescent="0.3">
      <c r="A390" t="s">
        <v>403</v>
      </c>
      <c r="B390">
        <v>20</v>
      </c>
      <c r="C390">
        <v>12</v>
      </c>
      <c r="D390" s="1">
        <v>46040.990277777775</v>
      </c>
      <c r="E390" s="8">
        <f t="shared" si="6"/>
        <v>46040</v>
      </c>
      <c r="F390">
        <v>799</v>
      </c>
      <c r="G390" t="s">
        <v>24</v>
      </c>
      <c r="H390" t="s">
        <v>10</v>
      </c>
      <c r="I390">
        <v>53</v>
      </c>
      <c r="J390" t="str">
        <f>_xlfn.IFNA(VLOOKUP(C390,merchants!$A$2:$D$41,2,FALSE),"Merchant not found")</f>
        <v>Merchant_012</v>
      </c>
      <c r="K390" t="str">
        <f>_xlfn.IFNA(VLOOKUP(C390,merchants!$A$2:$D$41,3,FALSE),"Merchant not found")</f>
        <v>ecommerce</v>
      </c>
      <c r="L390" t="str">
        <f>_xlfn.IFNA(VLOOKUP(C390,merchants!$A$2:$D$41,4,FALSE),"Merchant not found")</f>
        <v>East</v>
      </c>
      <c r="M390" s="2">
        <f>HLOOKUP(G390,Fees!$B$1:$E$2,2,FALSE)</f>
        <v>0.02</v>
      </c>
      <c r="N390" t="str">
        <f>IF(AND(K390&lt;&gt;"East",GETPIVOTDATA("amount_inr",'Daily Totals'!$A$4,"merchant_name",J390,"Days (transaction_time)",TEXT(D390,"dd-mmm"))&gt;5000),"High-Value Merchant Day", "Normal")</f>
        <v>Normal</v>
      </c>
    </row>
    <row r="391" spans="1:14" x14ac:dyDescent="0.3">
      <c r="A391" t="s">
        <v>404</v>
      </c>
      <c r="B391">
        <v>19</v>
      </c>
      <c r="C391">
        <v>26</v>
      </c>
      <c r="D391" s="1">
        <v>46051.249305555553</v>
      </c>
      <c r="E391" s="8">
        <f t="shared" si="6"/>
        <v>46051</v>
      </c>
      <c r="F391">
        <v>49</v>
      </c>
      <c r="G391" t="s">
        <v>12</v>
      </c>
      <c r="H391" t="s">
        <v>10</v>
      </c>
      <c r="I391">
        <v>100</v>
      </c>
      <c r="J391" t="str">
        <f>_xlfn.IFNA(VLOOKUP(C391,merchants!$A$2:$D$41,2,FALSE),"Merchant not found")</f>
        <v>Merchant_026</v>
      </c>
      <c r="K391" t="str">
        <f>_xlfn.IFNA(VLOOKUP(C391,merchants!$A$2:$D$41,3,FALSE),"Merchant not found")</f>
        <v>food_delivery</v>
      </c>
      <c r="L391" t="str">
        <f>_xlfn.IFNA(VLOOKUP(C391,merchants!$A$2:$D$41,4,FALSE),"Merchant not found")</f>
        <v>East</v>
      </c>
      <c r="M391" s="2">
        <f>HLOOKUP(G391,Fees!$B$1:$E$2,2,FALSE)</f>
        <v>0</v>
      </c>
      <c r="N391" t="str">
        <f>IF(AND(K391&lt;&gt;"East",GETPIVOTDATA("amount_inr",'Daily Totals'!$A$4,"merchant_name",J391,"Days (transaction_time)",TEXT(D391,"dd-mmm"))&gt;5000),"High-Value Merchant Day", "Normal")</f>
        <v>Normal</v>
      </c>
    </row>
    <row r="392" spans="1:14" x14ac:dyDescent="0.3">
      <c r="A392" t="s">
        <v>405</v>
      </c>
      <c r="B392">
        <v>149</v>
      </c>
      <c r="C392">
        <v>3</v>
      </c>
      <c r="D392" s="1">
        <v>46038.249305555553</v>
      </c>
      <c r="E392" s="8">
        <f t="shared" si="6"/>
        <v>46038</v>
      </c>
      <c r="F392">
        <v>4999</v>
      </c>
      <c r="G392" t="s">
        <v>9</v>
      </c>
      <c r="H392" t="s">
        <v>10</v>
      </c>
      <c r="I392">
        <v>1</v>
      </c>
      <c r="J392" t="str">
        <f>_xlfn.IFNA(VLOOKUP(C392,merchants!$A$2:$D$41,2,FALSE),"Merchant not found")</f>
        <v>Merchant_003</v>
      </c>
      <c r="K392" t="str">
        <f>_xlfn.IFNA(VLOOKUP(C392,merchants!$A$2:$D$41,3,FALSE),"Merchant not found")</f>
        <v>grocery</v>
      </c>
      <c r="L392" t="str">
        <f>_xlfn.IFNA(VLOOKUP(C392,merchants!$A$2:$D$41,4,FALSE),"Merchant not found")</f>
        <v>East</v>
      </c>
      <c r="M392" s="2">
        <f>HLOOKUP(G392,Fees!$B$1:$E$2,2,FALSE)</f>
        <v>1.4999999999999999E-2</v>
      </c>
      <c r="N392" t="str">
        <f>IF(AND(K392&lt;&gt;"East",GETPIVOTDATA("amount_inr",'Daily Totals'!$A$4,"merchant_name",J392,"Days (transaction_time)",TEXT(D392,"dd-mmm"))&gt;5000),"High-Value Merchant Day", "Normal")</f>
        <v>Normal</v>
      </c>
    </row>
    <row r="393" spans="1:14" x14ac:dyDescent="0.3">
      <c r="A393" t="s">
        <v>406</v>
      </c>
      <c r="B393">
        <v>55</v>
      </c>
      <c r="C393">
        <v>22</v>
      </c>
      <c r="D393" s="1">
        <v>46032.776388888888</v>
      </c>
      <c r="E393" s="8">
        <f t="shared" si="6"/>
        <v>46032</v>
      </c>
      <c r="F393">
        <v>499</v>
      </c>
      <c r="G393" t="s">
        <v>12</v>
      </c>
      <c r="H393" t="s">
        <v>10</v>
      </c>
      <c r="I393">
        <v>36</v>
      </c>
      <c r="J393" t="str">
        <f>_xlfn.IFNA(VLOOKUP(C393,merchants!$A$2:$D$41,2,FALSE),"Merchant not found")</f>
        <v>Merchant_022</v>
      </c>
      <c r="K393" t="str">
        <f>_xlfn.IFNA(VLOOKUP(C393,merchants!$A$2:$D$41,3,FALSE),"Merchant not found")</f>
        <v>travel</v>
      </c>
      <c r="L393" t="str">
        <f>_xlfn.IFNA(VLOOKUP(C393,merchants!$A$2:$D$41,4,FALSE),"Merchant not found")</f>
        <v>South</v>
      </c>
      <c r="M393" s="2">
        <f>HLOOKUP(G393,Fees!$B$1:$E$2,2,FALSE)</f>
        <v>0</v>
      </c>
      <c r="N393" t="str">
        <f>IF(AND(K393&lt;&gt;"East",GETPIVOTDATA("amount_inr",'Daily Totals'!$A$4,"merchant_name",J393,"Days (transaction_time)",TEXT(D393,"dd-mmm"))&gt;5000),"High-Value Merchant Day", "Normal")</f>
        <v>Normal</v>
      </c>
    </row>
    <row r="394" spans="1:14" x14ac:dyDescent="0.3">
      <c r="A394" t="s">
        <v>407</v>
      </c>
      <c r="B394">
        <v>269</v>
      </c>
      <c r="C394">
        <v>32</v>
      </c>
      <c r="D394" s="1">
        <v>46037.856944444444</v>
      </c>
      <c r="E394" s="8">
        <f t="shared" si="6"/>
        <v>46037</v>
      </c>
      <c r="F394">
        <v>49</v>
      </c>
      <c r="G394" t="s">
        <v>24</v>
      </c>
      <c r="H394" t="s">
        <v>10</v>
      </c>
      <c r="I394">
        <v>17</v>
      </c>
      <c r="J394" t="str">
        <f>_xlfn.IFNA(VLOOKUP(C394,merchants!$A$2:$D$41,2,FALSE),"Merchant not found")</f>
        <v>Merchant_032</v>
      </c>
      <c r="K394" t="str">
        <f>_xlfn.IFNA(VLOOKUP(C394,merchants!$A$2:$D$41,3,FALSE),"Merchant not found")</f>
        <v>food_delivery</v>
      </c>
      <c r="L394" t="str">
        <f>_xlfn.IFNA(VLOOKUP(C394,merchants!$A$2:$D$41,4,FALSE),"Merchant not found")</f>
        <v>West</v>
      </c>
      <c r="M394" s="2">
        <f>HLOOKUP(G394,Fees!$B$1:$E$2,2,FALSE)</f>
        <v>0.02</v>
      </c>
      <c r="N394" t="str">
        <f>IF(AND(K394&lt;&gt;"East",GETPIVOTDATA("amount_inr",'Daily Totals'!$A$4,"merchant_name",J394,"Days (transaction_time)",TEXT(D394,"dd-mmm"))&gt;5000),"High-Value Merchant Day", "Normal")</f>
        <v>Normal</v>
      </c>
    </row>
    <row r="395" spans="1:14" x14ac:dyDescent="0.3">
      <c r="A395" t="s">
        <v>408</v>
      </c>
      <c r="B395">
        <v>140</v>
      </c>
      <c r="C395">
        <v>13</v>
      </c>
      <c r="D395" s="1">
        <v>46050.686805555553</v>
      </c>
      <c r="E395" s="8">
        <f t="shared" si="6"/>
        <v>46050</v>
      </c>
      <c r="F395">
        <v>2999</v>
      </c>
      <c r="G395" t="s">
        <v>12</v>
      </c>
      <c r="H395" t="s">
        <v>10</v>
      </c>
      <c r="I395">
        <v>14</v>
      </c>
      <c r="J395" t="str">
        <f>_xlfn.IFNA(VLOOKUP(C395,merchants!$A$2:$D$41,2,FALSE),"Merchant not found")</f>
        <v>Merchant_013</v>
      </c>
      <c r="K395" t="str">
        <f>_xlfn.IFNA(VLOOKUP(C395,merchants!$A$2:$D$41,3,FALSE),"Merchant not found")</f>
        <v>travel</v>
      </c>
      <c r="L395" t="str">
        <f>_xlfn.IFNA(VLOOKUP(C395,merchants!$A$2:$D$41,4,FALSE),"Merchant not found")</f>
        <v>East</v>
      </c>
      <c r="M395" s="2">
        <f>HLOOKUP(G395,Fees!$B$1:$E$2,2,FALSE)</f>
        <v>0</v>
      </c>
      <c r="N395" t="str">
        <f>IF(AND(K395&lt;&gt;"East",GETPIVOTDATA("amount_inr",'Daily Totals'!$A$4,"merchant_name",J395,"Days (transaction_time)",TEXT(D395,"dd-mmm"))&gt;5000),"High-Value Merchant Day", "Normal")</f>
        <v>Normal</v>
      </c>
    </row>
    <row r="396" spans="1:14" x14ac:dyDescent="0.3">
      <c r="A396" t="s">
        <v>409</v>
      </c>
      <c r="B396">
        <v>235</v>
      </c>
      <c r="C396">
        <v>17</v>
      </c>
      <c r="D396" s="1">
        <v>46033.240277777775</v>
      </c>
      <c r="E396" s="8">
        <f t="shared" si="6"/>
        <v>46033</v>
      </c>
      <c r="F396">
        <v>2999</v>
      </c>
      <c r="G396" t="s">
        <v>12</v>
      </c>
      <c r="H396" t="s">
        <v>10</v>
      </c>
      <c r="I396">
        <v>91</v>
      </c>
      <c r="J396" t="str">
        <f>_xlfn.IFNA(VLOOKUP(C396,merchants!$A$2:$D$41,2,FALSE),"Merchant not found")</f>
        <v>Merchant_017</v>
      </c>
      <c r="K396" t="str">
        <f>_xlfn.IFNA(VLOOKUP(C396,merchants!$A$2:$D$41,3,FALSE),"Merchant not found")</f>
        <v>grocery</v>
      </c>
      <c r="L396" t="str">
        <f>_xlfn.IFNA(VLOOKUP(C396,merchants!$A$2:$D$41,4,FALSE),"Merchant not found")</f>
        <v>North</v>
      </c>
      <c r="M396" s="2">
        <f>HLOOKUP(G396,Fees!$B$1:$E$2,2,FALSE)</f>
        <v>0</v>
      </c>
      <c r="N396" t="str">
        <f>IF(AND(K396&lt;&gt;"East",GETPIVOTDATA("amount_inr",'Daily Totals'!$A$4,"merchant_name",J396,"Days (transaction_time)",TEXT(D396,"dd-mmm"))&gt;5000),"High-Value Merchant Day", "Normal")</f>
        <v>High-Value Merchant Day</v>
      </c>
    </row>
    <row r="397" spans="1:14" x14ac:dyDescent="0.3">
      <c r="A397" t="s">
        <v>410</v>
      </c>
      <c r="B397">
        <v>173</v>
      </c>
      <c r="C397">
        <v>19</v>
      </c>
      <c r="D397" s="1">
        <v>46028.032638888886</v>
      </c>
      <c r="E397" s="8">
        <f t="shared" si="6"/>
        <v>46028</v>
      </c>
      <c r="F397">
        <v>499</v>
      </c>
      <c r="G397" t="s">
        <v>12</v>
      </c>
      <c r="H397" t="s">
        <v>25</v>
      </c>
      <c r="I397">
        <v>72</v>
      </c>
      <c r="J397" t="str">
        <f>_xlfn.IFNA(VLOOKUP(C397,merchants!$A$2:$D$41,2,FALSE),"Merchant not found")</f>
        <v>Merchant_019</v>
      </c>
      <c r="K397" t="str">
        <f>_xlfn.IFNA(VLOOKUP(C397,merchants!$A$2:$D$41,3,FALSE),"Merchant not found")</f>
        <v>grocery</v>
      </c>
      <c r="L397" t="str">
        <f>_xlfn.IFNA(VLOOKUP(C397,merchants!$A$2:$D$41,4,FALSE),"Merchant not found")</f>
        <v>North</v>
      </c>
      <c r="M397" s="2">
        <f>HLOOKUP(G397,Fees!$B$1:$E$2,2,FALSE)</f>
        <v>0</v>
      </c>
      <c r="N397" t="str">
        <f>IF(AND(K397&lt;&gt;"East",GETPIVOTDATA("amount_inr",'Daily Totals'!$A$4,"merchant_name",J397,"Days (transaction_time)",TEXT(D397,"dd-mmm"))&gt;5000),"High-Value Merchant Day", "Normal")</f>
        <v>Normal</v>
      </c>
    </row>
    <row r="398" spans="1:14" x14ac:dyDescent="0.3">
      <c r="A398" t="s">
        <v>411</v>
      </c>
      <c r="B398">
        <v>313</v>
      </c>
      <c r="C398">
        <v>26</v>
      </c>
      <c r="D398" s="1">
        <v>46044.257638888892</v>
      </c>
      <c r="E398" s="8">
        <f t="shared" si="6"/>
        <v>46044</v>
      </c>
      <c r="F398">
        <v>499</v>
      </c>
      <c r="G398" t="s">
        <v>12</v>
      </c>
      <c r="H398" t="s">
        <v>10</v>
      </c>
      <c r="I398">
        <v>54</v>
      </c>
      <c r="J398" t="str">
        <f>_xlfn.IFNA(VLOOKUP(C398,merchants!$A$2:$D$41,2,FALSE),"Merchant not found")</f>
        <v>Merchant_026</v>
      </c>
      <c r="K398" t="str">
        <f>_xlfn.IFNA(VLOOKUP(C398,merchants!$A$2:$D$41,3,FALSE),"Merchant not found")</f>
        <v>food_delivery</v>
      </c>
      <c r="L398" t="str">
        <f>_xlfn.IFNA(VLOOKUP(C398,merchants!$A$2:$D$41,4,FALSE),"Merchant not found")</f>
        <v>East</v>
      </c>
      <c r="M398" s="2">
        <f>HLOOKUP(G398,Fees!$B$1:$E$2,2,FALSE)</f>
        <v>0</v>
      </c>
      <c r="N398" t="str">
        <f>IF(AND(K398&lt;&gt;"East",GETPIVOTDATA("amount_inr",'Daily Totals'!$A$4,"merchant_name",J398,"Days (transaction_time)",TEXT(D398,"dd-mmm"))&gt;5000),"High-Value Merchant Day", "Normal")</f>
        <v>Normal</v>
      </c>
    </row>
    <row r="399" spans="1:14" x14ac:dyDescent="0.3">
      <c r="A399" t="s">
        <v>412</v>
      </c>
      <c r="B399">
        <v>206</v>
      </c>
      <c r="C399">
        <v>7</v>
      </c>
      <c r="D399" s="1">
        <v>46039.420138888891</v>
      </c>
      <c r="E399" s="8">
        <f t="shared" si="6"/>
        <v>46039</v>
      </c>
      <c r="F399">
        <v>149</v>
      </c>
      <c r="G399" t="s">
        <v>9</v>
      </c>
      <c r="H399" t="s">
        <v>10</v>
      </c>
      <c r="I399">
        <v>23</v>
      </c>
      <c r="J399" t="str">
        <f>_xlfn.IFNA(VLOOKUP(C399,merchants!$A$2:$D$41,2,FALSE),"Merchant not found")</f>
        <v>Merchant_007</v>
      </c>
      <c r="K399" t="str">
        <f>_xlfn.IFNA(VLOOKUP(C399,merchants!$A$2:$D$41,3,FALSE),"Merchant not found")</f>
        <v>food_delivery</v>
      </c>
      <c r="L399" t="str">
        <f>_xlfn.IFNA(VLOOKUP(C399,merchants!$A$2:$D$41,4,FALSE),"Merchant not found")</f>
        <v>East</v>
      </c>
      <c r="M399" s="2">
        <f>HLOOKUP(G399,Fees!$B$1:$E$2,2,FALSE)</f>
        <v>1.4999999999999999E-2</v>
      </c>
      <c r="N399" t="str">
        <f>IF(AND(K399&lt;&gt;"East",GETPIVOTDATA("amount_inr",'Daily Totals'!$A$4,"merchant_name",J399,"Days (transaction_time)",TEXT(D399,"dd-mmm"))&gt;5000),"High-Value Merchant Day", "Normal")</f>
        <v>Normal</v>
      </c>
    </row>
    <row r="400" spans="1:14" x14ac:dyDescent="0.3">
      <c r="A400" t="s">
        <v>413</v>
      </c>
      <c r="B400">
        <v>128</v>
      </c>
      <c r="C400">
        <v>1</v>
      </c>
      <c r="D400" s="1">
        <v>46027.638888888891</v>
      </c>
      <c r="E400" s="8">
        <f t="shared" si="6"/>
        <v>46027</v>
      </c>
      <c r="F400">
        <v>1499</v>
      </c>
      <c r="G400" t="s">
        <v>15</v>
      </c>
      <c r="H400" t="s">
        <v>10</v>
      </c>
      <c r="I400">
        <v>33</v>
      </c>
      <c r="J400" t="str">
        <f>_xlfn.IFNA(VLOOKUP(C400,merchants!$A$2:$D$41,2,FALSE),"Merchant not found")</f>
        <v>Merchant_001</v>
      </c>
      <c r="K400" t="str">
        <f>_xlfn.IFNA(VLOOKUP(C400,merchants!$A$2:$D$41,3,FALSE),"Merchant not found")</f>
        <v>ecommerce</v>
      </c>
      <c r="L400" t="str">
        <f>_xlfn.IFNA(VLOOKUP(C400,merchants!$A$2:$D$41,4,FALSE),"Merchant not found")</f>
        <v>South</v>
      </c>
      <c r="M400" s="2">
        <f>HLOOKUP(G400,Fees!$B$1:$E$2,2,FALSE)</f>
        <v>0.01</v>
      </c>
      <c r="N400" t="str">
        <f>IF(AND(K400&lt;&gt;"East",GETPIVOTDATA("amount_inr",'Daily Totals'!$A$4,"merchant_name",J400,"Days (transaction_time)",TEXT(D400,"dd-mmm"))&gt;5000),"High-Value Merchant Day", "Normal")</f>
        <v>Normal</v>
      </c>
    </row>
    <row r="401" spans="1:14" x14ac:dyDescent="0.3">
      <c r="A401" t="s">
        <v>414</v>
      </c>
      <c r="B401">
        <v>137</v>
      </c>
      <c r="C401">
        <v>22</v>
      </c>
      <c r="D401" s="1">
        <v>46035.311111111114</v>
      </c>
      <c r="E401" s="8">
        <f t="shared" si="6"/>
        <v>46035</v>
      </c>
      <c r="F401">
        <v>799</v>
      </c>
      <c r="G401" t="s">
        <v>12</v>
      </c>
      <c r="H401" t="s">
        <v>25</v>
      </c>
      <c r="I401">
        <v>38</v>
      </c>
      <c r="J401" t="str">
        <f>_xlfn.IFNA(VLOOKUP(C401,merchants!$A$2:$D$41,2,FALSE),"Merchant not found")</f>
        <v>Merchant_022</v>
      </c>
      <c r="K401" t="str">
        <f>_xlfn.IFNA(VLOOKUP(C401,merchants!$A$2:$D$41,3,FALSE),"Merchant not found")</f>
        <v>travel</v>
      </c>
      <c r="L401" t="str">
        <f>_xlfn.IFNA(VLOOKUP(C401,merchants!$A$2:$D$41,4,FALSE),"Merchant not found")</f>
        <v>South</v>
      </c>
      <c r="M401" s="2">
        <f>HLOOKUP(G401,Fees!$B$1:$E$2,2,FALSE)</f>
        <v>0</v>
      </c>
      <c r="N401" t="str">
        <f>IF(AND(K401&lt;&gt;"East",GETPIVOTDATA("amount_inr",'Daily Totals'!$A$4,"merchant_name",J401,"Days (transaction_time)",TEXT(D401,"dd-mmm"))&gt;5000),"High-Value Merchant Day", "Normal")</f>
        <v>High-Value Merchant Day</v>
      </c>
    </row>
    <row r="402" spans="1:14" x14ac:dyDescent="0.3">
      <c r="A402" t="s">
        <v>415</v>
      </c>
      <c r="B402">
        <v>6</v>
      </c>
      <c r="C402">
        <v>17</v>
      </c>
      <c r="D402" s="1">
        <v>46041.98333333333</v>
      </c>
      <c r="E402" s="8">
        <f t="shared" si="6"/>
        <v>46041</v>
      </c>
      <c r="F402">
        <v>49</v>
      </c>
      <c r="G402" t="s">
        <v>12</v>
      </c>
      <c r="H402" t="s">
        <v>10</v>
      </c>
      <c r="I402">
        <v>83</v>
      </c>
      <c r="J402" t="str">
        <f>_xlfn.IFNA(VLOOKUP(C402,merchants!$A$2:$D$41,2,FALSE),"Merchant not found")</f>
        <v>Merchant_017</v>
      </c>
      <c r="K402" t="str">
        <f>_xlfn.IFNA(VLOOKUP(C402,merchants!$A$2:$D$41,3,FALSE),"Merchant not found")</f>
        <v>grocery</v>
      </c>
      <c r="L402" t="str">
        <f>_xlfn.IFNA(VLOOKUP(C402,merchants!$A$2:$D$41,4,FALSE),"Merchant not found")</f>
        <v>North</v>
      </c>
      <c r="M402" s="2">
        <f>HLOOKUP(G402,Fees!$B$1:$E$2,2,FALSE)</f>
        <v>0</v>
      </c>
      <c r="N402" t="str">
        <f>IF(AND(K402&lt;&gt;"East",GETPIVOTDATA("amount_inr",'Daily Totals'!$A$4,"merchant_name",J402,"Days (transaction_time)",TEXT(D402,"dd-mmm"))&gt;5000),"High-Value Merchant Day", "Normal")</f>
        <v>Normal</v>
      </c>
    </row>
    <row r="403" spans="1:14" x14ac:dyDescent="0.3">
      <c r="A403" t="s">
        <v>416</v>
      </c>
      <c r="B403">
        <v>32</v>
      </c>
      <c r="C403">
        <v>8</v>
      </c>
      <c r="D403" s="1">
        <v>46034.927083333336</v>
      </c>
      <c r="E403" s="8">
        <f t="shared" si="6"/>
        <v>46034</v>
      </c>
      <c r="F403">
        <v>299</v>
      </c>
      <c r="G403" t="s">
        <v>24</v>
      </c>
      <c r="H403" t="s">
        <v>10</v>
      </c>
      <c r="I403">
        <v>59</v>
      </c>
      <c r="J403" t="str">
        <f>_xlfn.IFNA(VLOOKUP(C403,merchants!$A$2:$D$41,2,FALSE),"Merchant not found")</f>
        <v>Merchant_008</v>
      </c>
      <c r="K403" t="str">
        <f>_xlfn.IFNA(VLOOKUP(C403,merchants!$A$2:$D$41,3,FALSE),"Merchant not found")</f>
        <v>food_delivery</v>
      </c>
      <c r="L403" t="str">
        <f>_xlfn.IFNA(VLOOKUP(C403,merchants!$A$2:$D$41,4,FALSE),"Merchant not found")</f>
        <v>North</v>
      </c>
      <c r="M403" s="2">
        <f>HLOOKUP(G403,Fees!$B$1:$E$2,2,FALSE)</f>
        <v>0.02</v>
      </c>
      <c r="N403" t="str">
        <f>IF(AND(K403&lt;&gt;"East",GETPIVOTDATA("amount_inr",'Daily Totals'!$A$4,"merchant_name",J403,"Days (transaction_time)",TEXT(D403,"dd-mmm"))&gt;5000),"High-Value Merchant Day", "Normal")</f>
        <v>Normal</v>
      </c>
    </row>
    <row r="404" spans="1:14" x14ac:dyDescent="0.3">
      <c r="A404" t="s">
        <v>417</v>
      </c>
      <c r="B404">
        <v>258</v>
      </c>
      <c r="C404">
        <v>20</v>
      </c>
      <c r="D404" s="1">
        <v>46032.225694444445</v>
      </c>
      <c r="E404" s="8">
        <f t="shared" si="6"/>
        <v>46032</v>
      </c>
      <c r="F404">
        <v>149</v>
      </c>
      <c r="G404" t="s">
        <v>12</v>
      </c>
      <c r="H404" t="s">
        <v>10</v>
      </c>
      <c r="I404">
        <v>88</v>
      </c>
      <c r="J404" t="str">
        <f>_xlfn.IFNA(VLOOKUP(C404,merchants!$A$2:$D$41,2,FALSE),"Merchant not found")</f>
        <v>Merchant_020</v>
      </c>
      <c r="K404" t="str">
        <f>_xlfn.IFNA(VLOOKUP(C404,merchants!$A$2:$D$41,3,FALSE),"Merchant not found")</f>
        <v>food_delivery</v>
      </c>
      <c r="L404" t="str">
        <f>_xlfn.IFNA(VLOOKUP(C404,merchants!$A$2:$D$41,4,FALSE),"Merchant not found")</f>
        <v>East</v>
      </c>
      <c r="M404" s="2">
        <f>HLOOKUP(G404,Fees!$B$1:$E$2,2,FALSE)</f>
        <v>0</v>
      </c>
      <c r="N404" t="str">
        <f>IF(AND(K404&lt;&gt;"East",GETPIVOTDATA("amount_inr",'Daily Totals'!$A$4,"merchant_name",J404,"Days (transaction_time)",TEXT(D404,"dd-mmm"))&gt;5000),"High-Value Merchant Day", "Normal")</f>
        <v>Normal</v>
      </c>
    </row>
    <row r="405" spans="1:14" x14ac:dyDescent="0.3">
      <c r="A405" t="s">
        <v>418</v>
      </c>
      <c r="B405">
        <v>152</v>
      </c>
      <c r="C405">
        <v>24</v>
      </c>
      <c r="D405" s="1">
        <v>46026.873611111114</v>
      </c>
      <c r="E405" s="8">
        <f t="shared" si="6"/>
        <v>46026</v>
      </c>
      <c r="F405">
        <v>149</v>
      </c>
      <c r="G405" t="s">
        <v>12</v>
      </c>
      <c r="H405" t="s">
        <v>38</v>
      </c>
      <c r="I405">
        <v>78</v>
      </c>
      <c r="J405" t="str">
        <f>_xlfn.IFNA(VLOOKUP(C405,merchants!$A$2:$D$41,2,FALSE),"Merchant not found")</f>
        <v>Merchant_024</v>
      </c>
      <c r="K405" t="str">
        <f>_xlfn.IFNA(VLOOKUP(C405,merchants!$A$2:$D$41,3,FALSE),"Merchant not found")</f>
        <v>grocery</v>
      </c>
      <c r="L405" t="str">
        <f>_xlfn.IFNA(VLOOKUP(C405,merchants!$A$2:$D$41,4,FALSE),"Merchant not found")</f>
        <v>North</v>
      </c>
      <c r="M405" s="2">
        <f>HLOOKUP(G405,Fees!$B$1:$E$2,2,FALSE)</f>
        <v>0</v>
      </c>
      <c r="N405" t="str">
        <f>IF(AND(K405&lt;&gt;"East",GETPIVOTDATA("amount_inr",'Daily Totals'!$A$4,"merchant_name",J405,"Days (transaction_time)",TEXT(D405,"dd-mmm"))&gt;5000),"High-Value Merchant Day", "Normal")</f>
        <v>Normal</v>
      </c>
    </row>
    <row r="406" spans="1:14" x14ac:dyDescent="0.3">
      <c r="A406" t="s">
        <v>419</v>
      </c>
      <c r="B406">
        <v>245</v>
      </c>
      <c r="C406">
        <v>10</v>
      </c>
      <c r="D406" s="1">
        <v>46030.297222222223</v>
      </c>
      <c r="E406" s="8">
        <f t="shared" si="6"/>
        <v>46030</v>
      </c>
      <c r="F406">
        <v>799</v>
      </c>
      <c r="G406" t="s">
        <v>9</v>
      </c>
      <c r="H406" t="s">
        <v>10</v>
      </c>
      <c r="I406">
        <v>58</v>
      </c>
      <c r="J406" t="str">
        <f>_xlfn.IFNA(VLOOKUP(C406,merchants!$A$2:$D$41,2,FALSE),"Merchant not found")</f>
        <v>Merchant_010</v>
      </c>
      <c r="K406" t="str">
        <f>_xlfn.IFNA(VLOOKUP(C406,merchants!$A$2:$D$41,3,FALSE),"Merchant not found")</f>
        <v>grocery</v>
      </c>
      <c r="L406" t="str">
        <f>_xlfn.IFNA(VLOOKUP(C406,merchants!$A$2:$D$41,4,FALSE),"Merchant not found")</f>
        <v>West</v>
      </c>
      <c r="M406" s="2">
        <f>HLOOKUP(G406,Fees!$B$1:$E$2,2,FALSE)</f>
        <v>1.4999999999999999E-2</v>
      </c>
      <c r="N406" t="str">
        <f>IF(AND(K406&lt;&gt;"East",GETPIVOTDATA("amount_inr",'Daily Totals'!$A$4,"merchant_name",J406,"Days (transaction_time)",TEXT(D406,"dd-mmm"))&gt;5000),"High-Value Merchant Day", "Normal")</f>
        <v>Normal</v>
      </c>
    </row>
    <row r="407" spans="1:14" x14ac:dyDescent="0.3">
      <c r="A407" t="s">
        <v>420</v>
      </c>
      <c r="B407">
        <v>213</v>
      </c>
      <c r="C407">
        <v>36</v>
      </c>
      <c r="D407" s="1">
        <v>46046.807638888888</v>
      </c>
      <c r="E407" s="8">
        <f t="shared" si="6"/>
        <v>46046</v>
      </c>
      <c r="F407">
        <v>49</v>
      </c>
      <c r="G407" t="s">
        <v>9</v>
      </c>
      <c r="H407" t="s">
        <v>10</v>
      </c>
      <c r="I407">
        <v>60</v>
      </c>
      <c r="J407" t="str">
        <f>_xlfn.IFNA(VLOOKUP(C407,merchants!$A$2:$D$41,2,FALSE),"Merchant not found")</f>
        <v>Merchant_036</v>
      </c>
      <c r="K407" t="str">
        <f>_xlfn.IFNA(VLOOKUP(C407,merchants!$A$2:$D$41,3,FALSE),"Merchant not found")</f>
        <v>entertainment</v>
      </c>
      <c r="L407" t="str">
        <f>_xlfn.IFNA(VLOOKUP(C407,merchants!$A$2:$D$41,4,FALSE),"Merchant not found")</f>
        <v>East</v>
      </c>
      <c r="M407" s="2">
        <f>HLOOKUP(G407,Fees!$B$1:$E$2,2,FALSE)</f>
        <v>1.4999999999999999E-2</v>
      </c>
      <c r="N407" t="str">
        <f>IF(AND(K407&lt;&gt;"East",GETPIVOTDATA("amount_inr",'Daily Totals'!$A$4,"merchant_name",J407,"Days (transaction_time)",TEXT(D407,"dd-mmm"))&gt;5000),"High-Value Merchant Day", "Normal")</f>
        <v>Normal</v>
      </c>
    </row>
    <row r="408" spans="1:14" x14ac:dyDescent="0.3">
      <c r="A408" t="s">
        <v>421</v>
      </c>
      <c r="B408">
        <v>341</v>
      </c>
      <c r="C408">
        <v>14</v>
      </c>
      <c r="D408" s="1">
        <v>46047.743750000001</v>
      </c>
      <c r="E408" s="8">
        <f t="shared" si="6"/>
        <v>46047</v>
      </c>
      <c r="F408">
        <v>99</v>
      </c>
      <c r="G408" t="s">
        <v>15</v>
      </c>
      <c r="H408" t="s">
        <v>10</v>
      </c>
      <c r="I408">
        <v>97</v>
      </c>
      <c r="J408" t="str">
        <f>_xlfn.IFNA(VLOOKUP(C408,merchants!$A$2:$D$41,2,FALSE),"Merchant not found")</f>
        <v>Merchant_014</v>
      </c>
      <c r="K408" t="str">
        <f>_xlfn.IFNA(VLOOKUP(C408,merchants!$A$2:$D$41,3,FALSE),"Merchant not found")</f>
        <v>grocery</v>
      </c>
      <c r="L408" t="str">
        <f>_xlfn.IFNA(VLOOKUP(C408,merchants!$A$2:$D$41,4,FALSE),"Merchant not found")</f>
        <v>East</v>
      </c>
      <c r="M408" s="2">
        <f>HLOOKUP(G408,Fees!$B$1:$E$2,2,FALSE)</f>
        <v>0.01</v>
      </c>
      <c r="N408" t="str">
        <f>IF(AND(K408&lt;&gt;"East",GETPIVOTDATA("amount_inr",'Daily Totals'!$A$4,"merchant_name",J408,"Days (transaction_time)",TEXT(D408,"dd-mmm"))&gt;5000),"High-Value Merchant Day", "Normal")</f>
        <v>Normal</v>
      </c>
    </row>
    <row r="409" spans="1:14" x14ac:dyDescent="0.3">
      <c r="A409" t="s">
        <v>422</v>
      </c>
      <c r="B409">
        <v>306</v>
      </c>
      <c r="C409">
        <v>6</v>
      </c>
      <c r="D409" s="1">
        <v>46030.908333333333</v>
      </c>
      <c r="E409" s="8">
        <f t="shared" si="6"/>
        <v>46030</v>
      </c>
      <c r="F409">
        <v>149</v>
      </c>
      <c r="G409" t="s">
        <v>15</v>
      </c>
      <c r="H409" t="s">
        <v>10</v>
      </c>
      <c r="I409">
        <v>67</v>
      </c>
      <c r="J409" t="str">
        <f>_xlfn.IFNA(VLOOKUP(C409,merchants!$A$2:$D$41,2,FALSE),"Merchant not found")</f>
        <v>Merchant_006</v>
      </c>
      <c r="K409" t="str">
        <f>_xlfn.IFNA(VLOOKUP(C409,merchants!$A$2:$D$41,3,FALSE),"Merchant not found")</f>
        <v>food_delivery</v>
      </c>
      <c r="L409" t="str">
        <f>_xlfn.IFNA(VLOOKUP(C409,merchants!$A$2:$D$41,4,FALSE),"Merchant not found")</f>
        <v>South</v>
      </c>
      <c r="M409" s="2">
        <f>HLOOKUP(G409,Fees!$B$1:$E$2,2,FALSE)</f>
        <v>0.01</v>
      </c>
      <c r="N409" t="str">
        <f>IF(AND(K409&lt;&gt;"East",GETPIVOTDATA("amount_inr",'Daily Totals'!$A$4,"merchant_name",J409,"Days (transaction_time)",TEXT(D409,"dd-mmm"))&gt;5000),"High-Value Merchant Day", "Normal")</f>
        <v>Normal</v>
      </c>
    </row>
    <row r="410" spans="1:14" x14ac:dyDescent="0.3">
      <c r="A410" t="s">
        <v>423</v>
      </c>
      <c r="B410">
        <v>186</v>
      </c>
      <c r="C410">
        <v>5</v>
      </c>
      <c r="D410" s="1">
        <v>46037.697916666664</v>
      </c>
      <c r="E410" s="8">
        <f t="shared" si="6"/>
        <v>46037</v>
      </c>
      <c r="F410">
        <v>499</v>
      </c>
      <c r="G410" t="s">
        <v>12</v>
      </c>
      <c r="H410" t="s">
        <v>10</v>
      </c>
      <c r="I410">
        <v>72</v>
      </c>
      <c r="J410" t="str">
        <f>_xlfn.IFNA(VLOOKUP(C410,merchants!$A$2:$D$41,2,FALSE),"Merchant not found")</f>
        <v>Merchant_005</v>
      </c>
      <c r="K410" t="str">
        <f>_xlfn.IFNA(VLOOKUP(C410,merchants!$A$2:$D$41,3,FALSE),"Merchant not found")</f>
        <v>recharge</v>
      </c>
      <c r="L410" t="str">
        <f>_xlfn.IFNA(VLOOKUP(C410,merchants!$A$2:$D$41,4,FALSE),"Merchant not found")</f>
        <v>South</v>
      </c>
      <c r="M410" s="2">
        <f>HLOOKUP(G410,Fees!$B$1:$E$2,2,FALSE)</f>
        <v>0</v>
      </c>
      <c r="N410" t="str">
        <f>IF(AND(K410&lt;&gt;"East",GETPIVOTDATA("amount_inr",'Daily Totals'!$A$4,"merchant_name",J410,"Days (transaction_time)",TEXT(D410,"dd-mmm"))&gt;5000),"High-Value Merchant Day", "Normal")</f>
        <v>Normal</v>
      </c>
    </row>
    <row r="411" spans="1:14" x14ac:dyDescent="0.3">
      <c r="A411" t="s">
        <v>424</v>
      </c>
      <c r="B411">
        <v>281</v>
      </c>
      <c r="C411">
        <v>33</v>
      </c>
      <c r="D411" s="1">
        <v>46026.078472222223</v>
      </c>
      <c r="E411" s="8">
        <f t="shared" si="6"/>
        <v>46026</v>
      </c>
      <c r="F411">
        <v>4999</v>
      </c>
      <c r="G411" t="s">
        <v>12</v>
      </c>
      <c r="H411" t="s">
        <v>10</v>
      </c>
      <c r="I411">
        <v>25</v>
      </c>
      <c r="J411" t="str">
        <f>_xlfn.IFNA(VLOOKUP(C411,merchants!$A$2:$D$41,2,FALSE),"Merchant not found")</f>
        <v>Merchant_033</v>
      </c>
      <c r="K411" t="str">
        <f>_xlfn.IFNA(VLOOKUP(C411,merchants!$A$2:$D$41,3,FALSE),"Merchant not found")</f>
        <v>bill_payment</v>
      </c>
      <c r="L411" t="str">
        <f>_xlfn.IFNA(VLOOKUP(C411,merchants!$A$2:$D$41,4,FALSE),"Merchant not found")</f>
        <v>East</v>
      </c>
      <c r="M411" s="2">
        <f>HLOOKUP(G411,Fees!$B$1:$E$2,2,FALSE)</f>
        <v>0</v>
      </c>
      <c r="N411" t="str">
        <f>IF(AND(K411&lt;&gt;"East",GETPIVOTDATA("amount_inr",'Daily Totals'!$A$4,"merchant_name",J411,"Days (transaction_time)",TEXT(D411,"dd-mmm"))&gt;5000),"High-Value Merchant Day", "Normal")</f>
        <v>Normal</v>
      </c>
    </row>
    <row r="412" spans="1:14" x14ac:dyDescent="0.3">
      <c r="A412" t="s">
        <v>425</v>
      </c>
      <c r="B412">
        <v>85</v>
      </c>
      <c r="C412">
        <v>21</v>
      </c>
      <c r="D412" s="1">
        <v>46041.714583333334</v>
      </c>
      <c r="E412" s="8">
        <f t="shared" si="6"/>
        <v>46041</v>
      </c>
      <c r="F412">
        <v>99</v>
      </c>
      <c r="G412" t="s">
        <v>12</v>
      </c>
      <c r="H412" t="s">
        <v>10</v>
      </c>
      <c r="I412">
        <v>66</v>
      </c>
      <c r="J412" t="str">
        <f>_xlfn.IFNA(VLOOKUP(C412,merchants!$A$2:$D$41,2,FALSE),"Merchant not found")</f>
        <v>Merchant_021</v>
      </c>
      <c r="K412" t="str">
        <f>_xlfn.IFNA(VLOOKUP(C412,merchants!$A$2:$D$41,3,FALSE),"Merchant not found")</f>
        <v>food_delivery</v>
      </c>
      <c r="L412" t="str">
        <f>_xlfn.IFNA(VLOOKUP(C412,merchants!$A$2:$D$41,4,FALSE),"Merchant not found")</f>
        <v>East</v>
      </c>
      <c r="M412" s="2">
        <f>HLOOKUP(G412,Fees!$B$1:$E$2,2,FALSE)</f>
        <v>0</v>
      </c>
      <c r="N412" t="str">
        <f>IF(AND(K412&lt;&gt;"East",GETPIVOTDATA("amount_inr",'Daily Totals'!$A$4,"merchant_name",J412,"Days (transaction_time)",TEXT(D412,"dd-mmm"))&gt;5000),"High-Value Merchant Day", "Normal")</f>
        <v>Normal</v>
      </c>
    </row>
    <row r="413" spans="1:14" x14ac:dyDescent="0.3">
      <c r="A413" t="s">
        <v>426</v>
      </c>
      <c r="B413">
        <v>106</v>
      </c>
      <c r="C413">
        <v>38</v>
      </c>
      <c r="D413" s="1">
        <v>46037.154861111114</v>
      </c>
      <c r="E413" s="8">
        <f t="shared" si="6"/>
        <v>46037</v>
      </c>
      <c r="F413">
        <v>499</v>
      </c>
      <c r="G413" t="s">
        <v>12</v>
      </c>
      <c r="H413" t="s">
        <v>10</v>
      </c>
      <c r="I413">
        <v>62</v>
      </c>
      <c r="J413" t="str">
        <f>_xlfn.IFNA(VLOOKUP(C413,merchants!$A$2:$D$41,2,FALSE),"Merchant not found")</f>
        <v>Merchant_038</v>
      </c>
      <c r="K413" t="str">
        <f>_xlfn.IFNA(VLOOKUP(C413,merchants!$A$2:$D$41,3,FALSE),"Merchant not found")</f>
        <v>grocery</v>
      </c>
      <c r="L413" t="str">
        <f>_xlfn.IFNA(VLOOKUP(C413,merchants!$A$2:$D$41,4,FALSE),"Merchant not found")</f>
        <v>East</v>
      </c>
      <c r="M413" s="2">
        <f>HLOOKUP(G413,Fees!$B$1:$E$2,2,FALSE)</f>
        <v>0</v>
      </c>
      <c r="N413" t="str">
        <f>IF(AND(K413&lt;&gt;"East",GETPIVOTDATA("amount_inr",'Daily Totals'!$A$4,"merchant_name",J413,"Days (transaction_time)",TEXT(D413,"dd-mmm"))&gt;5000),"High-Value Merchant Day", "Normal")</f>
        <v>Normal</v>
      </c>
    </row>
    <row r="414" spans="1:14" x14ac:dyDescent="0.3">
      <c r="A414" t="s">
        <v>427</v>
      </c>
      <c r="B414">
        <v>29</v>
      </c>
      <c r="C414">
        <v>30</v>
      </c>
      <c r="D414" s="1">
        <v>46025.686111111114</v>
      </c>
      <c r="E414" s="8">
        <f t="shared" si="6"/>
        <v>46025</v>
      </c>
      <c r="F414">
        <v>149</v>
      </c>
      <c r="G414" t="s">
        <v>15</v>
      </c>
      <c r="H414" t="s">
        <v>10</v>
      </c>
      <c r="I414">
        <v>16</v>
      </c>
      <c r="J414" t="str">
        <f>_xlfn.IFNA(VLOOKUP(C414,merchants!$A$2:$D$41,2,FALSE),"Merchant not found")</f>
        <v>Merchant_030</v>
      </c>
      <c r="K414" t="str">
        <f>_xlfn.IFNA(VLOOKUP(C414,merchants!$A$2:$D$41,3,FALSE),"Merchant not found")</f>
        <v>travel</v>
      </c>
      <c r="L414" t="str">
        <f>_xlfn.IFNA(VLOOKUP(C414,merchants!$A$2:$D$41,4,FALSE),"Merchant not found")</f>
        <v>West</v>
      </c>
      <c r="M414" s="2">
        <f>HLOOKUP(G414,Fees!$B$1:$E$2,2,FALSE)</f>
        <v>0.01</v>
      </c>
      <c r="N414" t="str">
        <f>IF(AND(K414&lt;&gt;"East",GETPIVOTDATA("amount_inr",'Daily Totals'!$A$4,"merchant_name",J414,"Days (transaction_time)",TEXT(D414,"dd-mmm"))&gt;5000),"High-Value Merchant Day", "Normal")</f>
        <v>Normal</v>
      </c>
    </row>
    <row r="415" spans="1:14" x14ac:dyDescent="0.3">
      <c r="A415" t="s">
        <v>428</v>
      </c>
      <c r="B415">
        <v>289</v>
      </c>
      <c r="C415">
        <v>4</v>
      </c>
      <c r="D415" s="1">
        <v>46039.561805555553</v>
      </c>
      <c r="E415" s="8">
        <f t="shared" si="6"/>
        <v>46039</v>
      </c>
      <c r="F415">
        <v>1499</v>
      </c>
      <c r="G415" t="s">
        <v>24</v>
      </c>
      <c r="H415" t="s">
        <v>10</v>
      </c>
      <c r="I415">
        <v>71</v>
      </c>
      <c r="J415" t="str">
        <f>_xlfn.IFNA(VLOOKUP(C415,merchants!$A$2:$D$41,2,FALSE),"Merchant not found")</f>
        <v>Merchant_004</v>
      </c>
      <c r="K415" t="str">
        <f>_xlfn.IFNA(VLOOKUP(C415,merchants!$A$2:$D$41,3,FALSE),"Merchant not found")</f>
        <v>ecommerce</v>
      </c>
      <c r="L415" t="str">
        <f>_xlfn.IFNA(VLOOKUP(C415,merchants!$A$2:$D$41,4,FALSE),"Merchant not found")</f>
        <v>East</v>
      </c>
      <c r="M415" s="2">
        <f>HLOOKUP(G415,Fees!$B$1:$E$2,2,FALSE)</f>
        <v>0.02</v>
      </c>
      <c r="N415" t="str">
        <f>IF(AND(K415&lt;&gt;"East",GETPIVOTDATA("amount_inr",'Daily Totals'!$A$4,"merchant_name",J415,"Days (transaction_time)",TEXT(D415,"dd-mmm"))&gt;5000),"High-Value Merchant Day", "Normal")</f>
        <v>Normal</v>
      </c>
    </row>
    <row r="416" spans="1:14" x14ac:dyDescent="0.3">
      <c r="A416" t="s">
        <v>429</v>
      </c>
      <c r="B416">
        <v>158</v>
      </c>
      <c r="C416">
        <v>2</v>
      </c>
      <c r="D416" s="1">
        <v>46037.910416666666</v>
      </c>
      <c r="E416" s="8">
        <f t="shared" si="6"/>
        <v>46037</v>
      </c>
      <c r="F416">
        <v>1499</v>
      </c>
      <c r="G416" t="s">
        <v>24</v>
      </c>
      <c r="H416" t="s">
        <v>10</v>
      </c>
      <c r="I416">
        <v>50</v>
      </c>
      <c r="J416" t="str">
        <f>_xlfn.IFNA(VLOOKUP(C416,merchants!$A$2:$D$41,2,FALSE),"Merchant not found")</f>
        <v>Merchant_002</v>
      </c>
      <c r="K416" t="str">
        <f>_xlfn.IFNA(VLOOKUP(C416,merchants!$A$2:$D$41,3,FALSE),"Merchant not found")</f>
        <v>grocery</v>
      </c>
      <c r="L416" t="str">
        <f>_xlfn.IFNA(VLOOKUP(C416,merchants!$A$2:$D$41,4,FALSE),"Merchant not found")</f>
        <v>West</v>
      </c>
      <c r="M416" s="2">
        <f>HLOOKUP(G416,Fees!$B$1:$E$2,2,FALSE)</f>
        <v>0.02</v>
      </c>
      <c r="N416" t="str">
        <f>IF(AND(K416&lt;&gt;"East",GETPIVOTDATA("amount_inr",'Daily Totals'!$A$4,"merchant_name",J416,"Days (transaction_time)",TEXT(D416,"dd-mmm"))&gt;5000),"High-Value Merchant Day", "Normal")</f>
        <v>Normal</v>
      </c>
    </row>
    <row r="417" spans="1:14" x14ac:dyDescent="0.3">
      <c r="A417" t="s">
        <v>430</v>
      </c>
      <c r="B417">
        <v>112</v>
      </c>
      <c r="C417">
        <v>38</v>
      </c>
      <c r="D417" s="1">
        <v>46031.032638888886</v>
      </c>
      <c r="E417" s="8">
        <f t="shared" si="6"/>
        <v>46031</v>
      </c>
      <c r="F417">
        <v>49</v>
      </c>
      <c r="G417" t="s">
        <v>12</v>
      </c>
      <c r="H417" t="s">
        <v>10</v>
      </c>
      <c r="I417">
        <v>9</v>
      </c>
      <c r="J417" t="str">
        <f>_xlfn.IFNA(VLOOKUP(C417,merchants!$A$2:$D$41,2,FALSE),"Merchant not found")</f>
        <v>Merchant_038</v>
      </c>
      <c r="K417" t="str">
        <f>_xlfn.IFNA(VLOOKUP(C417,merchants!$A$2:$D$41,3,FALSE),"Merchant not found")</f>
        <v>grocery</v>
      </c>
      <c r="L417" t="str">
        <f>_xlfn.IFNA(VLOOKUP(C417,merchants!$A$2:$D$41,4,FALSE),"Merchant not found")</f>
        <v>East</v>
      </c>
      <c r="M417" s="2">
        <f>HLOOKUP(G417,Fees!$B$1:$E$2,2,FALSE)</f>
        <v>0</v>
      </c>
      <c r="N417" t="str">
        <f>IF(AND(K417&lt;&gt;"East",GETPIVOTDATA("amount_inr",'Daily Totals'!$A$4,"merchant_name",J417,"Days (transaction_time)",TEXT(D417,"dd-mmm"))&gt;5000),"High-Value Merchant Day", "Normal")</f>
        <v>Normal</v>
      </c>
    </row>
    <row r="418" spans="1:14" x14ac:dyDescent="0.3">
      <c r="A418" t="s">
        <v>431</v>
      </c>
      <c r="B418">
        <v>33</v>
      </c>
      <c r="C418">
        <v>35</v>
      </c>
      <c r="D418" s="1">
        <v>46024.556944444441</v>
      </c>
      <c r="E418" s="8">
        <f t="shared" si="6"/>
        <v>46024</v>
      </c>
      <c r="F418">
        <v>299</v>
      </c>
      <c r="G418" t="s">
        <v>24</v>
      </c>
      <c r="H418" t="s">
        <v>25</v>
      </c>
      <c r="I418">
        <v>7</v>
      </c>
      <c r="J418" t="str">
        <f>_xlfn.IFNA(VLOOKUP(C418,merchants!$A$2:$D$41,2,FALSE),"Merchant not found")</f>
        <v>Merchant_035</v>
      </c>
      <c r="K418" t="str">
        <f>_xlfn.IFNA(VLOOKUP(C418,merchants!$A$2:$D$41,3,FALSE),"Merchant not found")</f>
        <v>recharge</v>
      </c>
      <c r="L418" t="str">
        <f>_xlfn.IFNA(VLOOKUP(C418,merchants!$A$2:$D$41,4,FALSE),"Merchant not found")</f>
        <v>East</v>
      </c>
      <c r="M418" s="2">
        <f>HLOOKUP(G418,Fees!$B$1:$E$2,2,FALSE)</f>
        <v>0.02</v>
      </c>
      <c r="N418" t="str">
        <f>IF(AND(K418&lt;&gt;"East",GETPIVOTDATA("amount_inr",'Daily Totals'!$A$4,"merchant_name",J418,"Days (transaction_time)",TEXT(D418,"dd-mmm"))&gt;5000),"High-Value Merchant Day", "Normal")</f>
        <v>Normal</v>
      </c>
    </row>
    <row r="419" spans="1:14" x14ac:dyDescent="0.3">
      <c r="A419" t="s">
        <v>432</v>
      </c>
      <c r="B419">
        <v>242</v>
      </c>
      <c r="C419">
        <v>3</v>
      </c>
      <c r="D419" s="1">
        <v>46052.124305555553</v>
      </c>
      <c r="E419" s="8">
        <f t="shared" si="6"/>
        <v>46052</v>
      </c>
      <c r="F419">
        <v>49</v>
      </c>
      <c r="G419" t="s">
        <v>12</v>
      </c>
      <c r="H419" t="s">
        <v>10</v>
      </c>
      <c r="I419">
        <v>36</v>
      </c>
      <c r="J419" t="str">
        <f>_xlfn.IFNA(VLOOKUP(C419,merchants!$A$2:$D$41,2,FALSE),"Merchant not found")</f>
        <v>Merchant_003</v>
      </c>
      <c r="K419" t="str">
        <f>_xlfn.IFNA(VLOOKUP(C419,merchants!$A$2:$D$41,3,FALSE),"Merchant not found")</f>
        <v>grocery</v>
      </c>
      <c r="L419" t="str">
        <f>_xlfn.IFNA(VLOOKUP(C419,merchants!$A$2:$D$41,4,FALSE),"Merchant not found")</f>
        <v>East</v>
      </c>
      <c r="M419" s="2">
        <f>HLOOKUP(G419,Fees!$B$1:$E$2,2,FALSE)</f>
        <v>0</v>
      </c>
      <c r="N419" t="str">
        <f>IF(AND(K419&lt;&gt;"East",GETPIVOTDATA("amount_inr",'Daily Totals'!$A$4,"merchant_name",J419,"Days (transaction_time)",TEXT(D419,"dd-mmm"))&gt;5000),"High-Value Merchant Day", "Normal")</f>
        <v>Normal</v>
      </c>
    </row>
    <row r="420" spans="1:14" x14ac:dyDescent="0.3">
      <c r="A420" t="s">
        <v>433</v>
      </c>
      <c r="B420">
        <v>70</v>
      </c>
      <c r="C420">
        <v>27</v>
      </c>
      <c r="D420" s="1">
        <v>46036.242361111108</v>
      </c>
      <c r="E420" s="8">
        <f t="shared" si="6"/>
        <v>46036</v>
      </c>
      <c r="F420">
        <v>149</v>
      </c>
      <c r="G420" t="s">
        <v>12</v>
      </c>
      <c r="H420" t="s">
        <v>10</v>
      </c>
      <c r="I420">
        <v>47</v>
      </c>
      <c r="J420" t="str">
        <f>_xlfn.IFNA(VLOOKUP(C420,merchants!$A$2:$D$41,2,FALSE),"Merchant not found")</f>
        <v>Merchant_027</v>
      </c>
      <c r="K420" t="str">
        <f>_xlfn.IFNA(VLOOKUP(C420,merchants!$A$2:$D$41,3,FALSE),"Merchant not found")</f>
        <v>ecommerce</v>
      </c>
      <c r="L420" t="str">
        <f>_xlfn.IFNA(VLOOKUP(C420,merchants!$A$2:$D$41,4,FALSE),"Merchant not found")</f>
        <v>North</v>
      </c>
      <c r="M420" s="2">
        <f>HLOOKUP(G420,Fees!$B$1:$E$2,2,FALSE)</f>
        <v>0</v>
      </c>
      <c r="N420" t="str">
        <f>IF(AND(K420&lt;&gt;"East",GETPIVOTDATA("amount_inr",'Daily Totals'!$A$4,"merchant_name",J420,"Days (transaction_time)",TEXT(D420,"dd-mmm"))&gt;5000),"High-Value Merchant Day", "Normal")</f>
        <v>Normal</v>
      </c>
    </row>
    <row r="421" spans="1:14" x14ac:dyDescent="0.3">
      <c r="A421" t="s">
        <v>434</v>
      </c>
      <c r="B421">
        <v>194</v>
      </c>
      <c r="C421">
        <v>25</v>
      </c>
      <c r="D421" s="1">
        <v>46051.519444444442</v>
      </c>
      <c r="E421" s="8">
        <f t="shared" si="6"/>
        <v>46051</v>
      </c>
      <c r="F421">
        <v>49</v>
      </c>
      <c r="G421" t="s">
        <v>9</v>
      </c>
      <c r="H421" t="s">
        <v>10</v>
      </c>
      <c r="I421">
        <v>10</v>
      </c>
      <c r="J421" t="str">
        <f>_xlfn.IFNA(VLOOKUP(C421,merchants!$A$2:$D$41,2,FALSE),"Merchant not found")</f>
        <v>Merchant_025</v>
      </c>
      <c r="K421" t="str">
        <f>_xlfn.IFNA(VLOOKUP(C421,merchants!$A$2:$D$41,3,FALSE),"Merchant not found")</f>
        <v>travel</v>
      </c>
      <c r="L421" t="str">
        <f>_xlfn.IFNA(VLOOKUP(C421,merchants!$A$2:$D$41,4,FALSE),"Merchant not found")</f>
        <v>South</v>
      </c>
      <c r="M421" s="2">
        <f>HLOOKUP(G421,Fees!$B$1:$E$2,2,FALSE)</f>
        <v>1.4999999999999999E-2</v>
      </c>
      <c r="N421" t="str">
        <f>IF(AND(K421&lt;&gt;"East",GETPIVOTDATA("amount_inr",'Daily Totals'!$A$4,"merchant_name",J421,"Days (transaction_time)",TEXT(D421,"dd-mmm"))&gt;5000),"High-Value Merchant Day", "Normal")</f>
        <v>Normal</v>
      </c>
    </row>
    <row r="422" spans="1:14" x14ac:dyDescent="0.3">
      <c r="A422" t="s">
        <v>435</v>
      </c>
      <c r="B422">
        <v>277</v>
      </c>
      <c r="C422">
        <v>9</v>
      </c>
      <c r="D422" s="1">
        <v>46044.913194444445</v>
      </c>
      <c r="E422" s="8">
        <f t="shared" si="6"/>
        <v>46044</v>
      </c>
      <c r="F422">
        <v>799</v>
      </c>
      <c r="G422" t="s">
        <v>12</v>
      </c>
      <c r="H422" t="s">
        <v>10</v>
      </c>
      <c r="I422">
        <v>83</v>
      </c>
      <c r="J422" t="str">
        <f>_xlfn.IFNA(VLOOKUP(C422,merchants!$A$2:$D$41,2,FALSE),"Merchant not found")</f>
        <v>Merchant_009</v>
      </c>
      <c r="K422" t="str">
        <f>_xlfn.IFNA(VLOOKUP(C422,merchants!$A$2:$D$41,3,FALSE),"Merchant not found")</f>
        <v>ecommerce</v>
      </c>
      <c r="L422" t="str">
        <f>_xlfn.IFNA(VLOOKUP(C422,merchants!$A$2:$D$41,4,FALSE),"Merchant not found")</f>
        <v>North</v>
      </c>
      <c r="M422" s="2">
        <f>HLOOKUP(G422,Fees!$B$1:$E$2,2,FALSE)</f>
        <v>0</v>
      </c>
      <c r="N422" t="str">
        <f>IF(AND(K422&lt;&gt;"East",GETPIVOTDATA("amount_inr",'Daily Totals'!$A$4,"merchant_name",J422,"Days (transaction_time)",TEXT(D422,"dd-mmm"))&gt;5000),"High-Value Merchant Day", "Normal")</f>
        <v>Normal</v>
      </c>
    </row>
    <row r="423" spans="1:14" x14ac:dyDescent="0.3">
      <c r="A423" t="s">
        <v>436</v>
      </c>
      <c r="B423">
        <v>92</v>
      </c>
      <c r="C423">
        <v>35</v>
      </c>
      <c r="D423" s="1">
        <v>46050.463194444441</v>
      </c>
      <c r="E423" s="8">
        <f t="shared" si="6"/>
        <v>46050</v>
      </c>
      <c r="F423">
        <v>49</v>
      </c>
      <c r="G423" t="s">
        <v>12</v>
      </c>
      <c r="H423" t="s">
        <v>10</v>
      </c>
      <c r="I423">
        <v>50</v>
      </c>
      <c r="J423" t="str">
        <f>_xlfn.IFNA(VLOOKUP(C423,merchants!$A$2:$D$41,2,FALSE),"Merchant not found")</f>
        <v>Merchant_035</v>
      </c>
      <c r="K423" t="str">
        <f>_xlfn.IFNA(VLOOKUP(C423,merchants!$A$2:$D$41,3,FALSE),"Merchant not found")</f>
        <v>recharge</v>
      </c>
      <c r="L423" t="str">
        <f>_xlfn.IFNA(VLOOKUP(C423,merchants!$A$2:$D$41,4,FALSE),"Merchant not found")</f>
        <v>East</v>
      </c>
      <c r="M423" s="2">
        <f>HLOOKUP(G423,Fees!$B$1:$E$2,2,FALSE)</f>
        <v>0</v>
      </c>
      <c r="N423" t="str">
        <f>IF(AND(K423&lt;&gt;"East",GETPIVOTDATA("amount_inr",'Daily Totals'!$A$4,"merchant_name",J423,"Days (transaction_time)",TEXT(D423,"dd-mmm"))&gt;5000),"High-Value Merchant Day", "Normal")</f>
        <v>Normal</v>
      </c>
    </row>
    <row r="424" spans="1:14" x14ac:dyDescent="0.3">
      <c r="A424" t="s">
        <v>437</v>
      </c>
      <c r="B424">
        <v>115</v>
      </c>
      <c r="C424">
        <v>1</v>
      </c>
      <c r="D424" s="1">
        <v>46039.198611111111</v>
      </c>
      <c r="E424" s="8">
        <f t="shared" si="6"/>
        <v>46039</v>
      </c>
      <c r="F424">
        <v>149</v>
      </c>
      <c r="G424" t="s">
        <v>9</v>
      </c>
      <c r="H424" t="s">
        <v>10</v>
      </c>
      <c r="I424">
        <v>96</v>
      </c>
      <c r="J424" t="str">
        <f>_xlfn.IFNA(VLOOKUP(C424,merchants!$A$2:$D$41,2,FALSE),"Merchant not found")</f>
        <v>Merchant_001</v>
      </c>
      <c r="K424" t="str">
        <f>_xlfn.IFNA(VLOOKUP(C424,merchants!$A$2:$D$41,3,FALSE),"Merchant not found")</f>
        <v>ecommerce</v>
      </c>
      <c r="L424" t="str">
        <f>_xlfn.IFNA(VLOOKUP(C424,merchants!$A$2:$D$41,4,FALSE),"Merchant not found")</f>
        <v>South</v>
      </c>
      <c r="M424" s="2">
        <f>HLOOKUP(G424,Fees!$B$1:$E$2,2,FALSE)</f>
        <v>1.4999999999999999E-2</v>
      </c>
      <c r="N424" t="str">
        <f>IF(AND(K424&lt;&gt;"East",GETPIVOTDATA("amount_inr",'Daily Totals'!$A$4,"merchant_name",J424,"Days (transaction_time)",TEXT(D424,"dd-mmm"))&gt;5000),"High-Value Merchant Day", "Normal")</f>
        <v>Normal</v>
      </c>
    </row>
    <row r="425" spans="1:14" x14ac:dyDescent="0.3">
      <c r="A425" t="s">
        <v>438</v>
      </c>
      <c r="B425">
        <v>345</v>
      </c>
      <c r="C425">
        <v>35</v>
      </c>
      <c r="D425" s="1">
        <v>46023.395138888889</v>
      </c>
      <c r="E425" s="8">
        <f t="shared" si="6"/>
        <v>46023</v>
      </c>
      <c r="F425">
        <v>499</v>
      </c>
      <c r="G425" t="s">
        <v>24</v>
      </c>
      <c r="H425" t="s">
        <v>10</v>
      </c>
      <c r="I425">
        <v>54</v>
      </c>
      <c r="J425" t="str">
        <f>_xlfn.IFNA(VLOOKUP(C425,merchants!$A$2:$D$41,2,FALSE),"Merchant not found")</f>
        <v>Merchant_035</v>
      </c>
      <c r="K425" t="str">
        <f>_xlfn.IFNA(VLOOKUP(C425,merchants!$A$2:$D$41,3,FALSE),"Merchant not found")</f>
        <v>recharge</v>
      </c>
      <c r="L425" t="str">
        <f>_xlfn.IFNA(VLOOKUP(C425,merchants!$A$2:$D$41,4,FALSE),"Merchant not found")</f>
        <v>East</v>
      </c>
      <c r="M425" s="2">
        <f>HLOOKUP(G425,Fees!$B$1:$E$2,2,FALSE)</f>
        <v>0.02</v>
      </c>
      <c r="N425" t="str">
        <f>IF(AND(K425&lt;&gt;"East",GETPIVOTDATA("amount_inr",'Daily Totals'!$A$4,"merchant_name",J425,"Days (transaction_time)",TEXT(D425,"dd-mmm"))&gt;5000),"High-Value Merchant Day", "Normal")</f>
        <v>Normal</v>
      </c>
    </row>
    <row r="426" spans="1:14" x14ac:dyDescent="0.3">
      <c r="A426" t="s">
        <v>439</v>
      </c>
      <c r="B426">
        <v>118</v>
      </c>
      <c r="C426">
        <v>16</v>
      </c>
      <c r="D426" s="1">
        <v>46040.536111111112</v>
      </c>
      <c r="E426" s="8">
        <f t="shared" si="6"/>
        <v>46040</v>
      </c>
      <c r="F426">
        <v>49</v>
      </c>
      <c r="G426" t="s">
        <v>12</v>
      </c>
      <c r="H426" t="s">
        <v>10</v>
      </c>
      <c r="I426">
        <v>58</v>
      </c>
      <c r="J426" t="str">
        <f>_xlfn.IFNA(VLOOKUP(C426,merchants!$A$2:$D$41,2,FALSE),"Merchant not found")</f>
        <v>Merchant_016</v>
      </c>
      <c r="K426" t="str">
        <f>_xlfn.IFNA(VLOOKUP(C426,merchants!$A$2:$D$41,3,FALSE),"Merchant not found")</f>
        <v>bill_payment</v>
      </c>
      <c r="L426" t="str">
        <f>_xlfn.IFNA(VLOOKUP(C426,merchants!$A$2:$D$41,4,FALSE),"Merchant not found")</f>
        <v>West</v>
      </c>
      <c r="M426" s="2">
        <f>HLOOKUP(G426,Fees!$B$1:$E$2,2,FALSE)</f>
        <v>0</v>
      </c>
      <c r="N426" t="str">
        <f>IF(AND(K426&lt;&gt;"East",GETPIVOTDATA("amount_inr",'Daily Totals'!$A$4,"merchant_name",J426,"Days (transaction_time)",TEXT(D426,"dd-mmm"))&gt;5000),"High-Value Merchant Day", "Normal")</f>
        <v>Normal</v>
      </c>
    </row>
    <row r="427" spans="1:14" x14ac:dyDescent="0.3">
      <c r="A427" t="s">
        <v>440</v>
      </c>
      <c r="B427">
        <v>97</v>
      </c>
      <c r="C427">
        <v>8</v>
      </c>
      <c r="D427" s="1">
        <v>46034.178472222222</v>
      </c>
      <c r="E427" s="8">
        <f t="shared" si="6"/>
        <v>46034</v>
      </c>
      <c r="F427">
        <v>99</v>
      </c>
      <c r="G427" t="s">
        <v>15</v>
      </c>
      <c r="H427" t="s">
        <v>10</v>
      </c>
      <c r="I427">
        <v>4</v>
      </c>
      <c r="J427" t="str">
        <f>_xlfn.IFNA(VLOOKUP(C427,merchants!$A$2:$D$41,2,FALSE),"Merchant not found")</f>
        <v>Merchant_008</v>
      </c>
      <c r="K427" t="str">
        <f>_xlfn.IFNA(VLOOKUP(C427,merchants!$A$2:$D$41,3,FALSE),"Merchant not found")</f>
        <v>food_delivery</v>
      </c>
      <c r="L427" t="str">
        <f>_xlfn.IFNA(VLOOKUP(C427,merchants!$A$2:$D$41,4,FALSE),"Merchant not found")</f>
        <v>North</v>
      </c>
      <c r="M427" s="2">
        <f>HLOOKUP(G427,Fees!$B$1:$E$2,2,FALSE)</f>
        <v>0.01</v>
      </c>
      <c r="N427" t="str">
        <f>IF(AND(K427&lt;&gt;"East",GETPIVOTDATA("amount_inr",'Daily Totals'!$A$4,"merchant_name",J427,"Days (transaction_time)",TEXT(D427,"dd-mmm"))&gt;5000),"High-Value Merchant Day", "Normal")</f>
        <v>Normal</v>
      </c>
    </row>
    <row r="428" spans="1:14" x14ac:dyDescent="0.3">
      <c r="A428" t="s">
        <v>441</v>
      </c>
      <c r="B428">
        <v>315</v>
      </c>
      <c r="C428">
        <v>2</v>
      </c>
      <c r="D428" s="1">
        <v>46048.893055555556</v>
      </c>
      <c r="E428" s="8">
        <f t="shared" si="6"/>
        <v>46048</v>
      </c>
      <c r="F428">
        <v>299</v>
      </c>
      <c r="G428" t="s">
        <v>9</v>
      </c>
      <c r="H428" t="s">
        <v>10</v>
      </c>
      <c r="I428">
        <v>30</v>
      </c>
      <c r="J428" t="str">
        <f>_xlfn.IFNA(VLOOKUP(C428,merchants!$A$2:$D$41,2,FALSE),"Merchant not found")</f>
        <v>Merchant_002</v>
      </c>
      <c r="K428" t="str">
        <f>_xlfn.IFNA(VLOOKUP(C428,merchants!$A$2:$D$41,3,FALSE),"Merchant not found")</f>
        <v>grocery</v>
      </c>
      <c r="L428" t="str">
        <f>_xlfn.IFNA(VLOOKUP(C428,merchants!$A$2:$D$41,4,FALSE),"Merchant not found")</f>
        <v>West</v>
      </c>
      <c r="M428" s="2">
        <f>HLOOKUP(G428,Fees!$B$1:$E$2,2,FALSE)</f>
        <v>1.4999999999999999E-2</v>
      </c>
      <c r="N428" t="str">
        <f>IF(AND(K428&lt;&gt;"East",GETPIVOTDATA("amount_inr",'Daily Totals'!$A$4,"merchant_name",J428,"Days (transaction_time)",TEXT(D428,"dd-mmm"))&gt;5000),"High-Value Merchant Day", "Normal")</f>
        <v>Normal</v>
      </c>
    </row>
    <row r="429" spans="1:14" x14ac:dyDescent="0.3">
      <c r="A429" t="s">
        <v>442</v>
      </c>
      <c r="B429">
        <v>305</v>
      </c>
      <c r="C429">
        <v>3</v>
      </c>
      <c r="D429" s="1">
        <v>46029.087500000001</v>
      </c>
      <c r="E429" s="8">
        <f t="shared" si="6"/>
        <v>46029</v>
      </c>
      <c r="F429">
        <v>299</v>
      </c>
      <c r="G429" t="s">
        <v>12</v>
      </c>
      <c r="H429" t="s">
        <v>10</v>
      </c>
      <c r="I429">
        <v>57</v>
      </c>
      <c r="J429" t="str">
        <f>_xlfn.IFNA(VLOOKUP(C429,merchants!$A$2:$D$41,2,FALSE),"Merchant not found")</f>
        <v>Merchant_003</v>
      </c>
      <c r="K429" t="str">
        <f>_xlfn.IFNA(VLOOKUP(C429,merchants!$A$2:$D$41,3,FALSE),"Merchant not found")</f>
        <v>grocery</v>
      </c>
      <c r="L429" t="str">
        <f>_xlfn.IFNA(VLOOKUP(C429,merchants!$A$2:$D$41,4,FALSE),"Merchant not found")</f>
        <v>East</v>
      </c>
      <c r="M429" s="2">
        <f>HLOOKUP(G429,Fees!$B$1:$E$2,2,FALSE)</f>
        <v>0</v>
      </c>
      <c r="N429" t="str">
        <f>IF(AND(K429&lt;&gt;"East",GETPIVOTDATA("amount_inr",'Daily Totals'!$A$4,"merchant_name",J429,"Days (transaction_time)",TEXT(D429,"dd-mmm"))&gt;5000),"High-Value Merchant Day", "Normal")</f>
        <v>Normal</v>
      </c>
    </row>
    <row r="430" spans="1:14" x14ac:dyDescent="0.3">
      <c r="A430" t="s">
        <v>443</v>
      </c>
      <c r="B430">
        <v>25</v>
      </c>
      <c r="C430">
        <v>16</v>
      </c>
      <c r="D430" s="1">
        <v>46042.90625</v>
      </c>
      <c r="E430" s="8">
        <f t="shared" si="6"/>
        <v>46042</v>
      </c>
      <c r="F430">
        <v>299</v>
      </c>
      <c r="G430" t="s">
        <v>12</v>
      </c>
      <c r="H430" t="s">
        <v>10</v>
      </c>
      <c r="I430">
        <v>94</v>
      </c>
      <c r="J430" t="str">
        <f>_xlfn.IFNA(VLOOKUP(C430,merchants!$A$2:$D$41,2,FALSE),"Merchant not found")</f>
        <v>Merchant_016</v>
      </c>
      <c r="K430" t="str">
        <f>_xlfn.IFNA(VLOOKUP(C430,merchants!$A$2:$D$41,3,FALSE),"Merchant not found")</f>
        <v>bill_payment</v>
      </c>
      <c r="L430" t="str">
        <f>_xlfn.IFNA(VLOOKUP(C430,merchants!$A$2:$D$41,4,FALSE),"Merchant not found")</f>
        <v>West</v>
      </c>
      <c r="M430" s="2">
        <f>HLOOKUP(G430,Fees!$B$1:$E$2,2,FALSE)</f>
        <v>0</v>
      </c>
      <c r="N430" t="str">
        <f>IF(AND(K430&lt;&gt;"East",GETPIVOTDATA("amount_inr",'Daily Totals'!$A$4,"merchant_name",J430,"Days (transaction_time)",TEXT(D430,"dd-mmm"))&gt;5000),"High-Value Merchant Day", "Normal")</f>
        <v>Normal</v>
      </c>
    </row>
    <row r="431" spans="1:14" x14ac:dyDescent="0.3">
      <c r="A431" t="s">
        <v>444</v>
      </c>
      <c r="B431">
        <v>120</v>
      </c>
      <c r="C431">
        <v>35</v>
      </c>
      <c r="D431" s="1">
        <v>46024.519444444442</v>
      </c>
      <c r="E431" s="8">
        <f t="shared" si="6"/>
        <v>46024</v>
      </c>
      <c r="F431">
        <v>49</v>
      </c>
      <c r="G431" t="s">
        <v>12</v>
      </c>
      <c r="H431" t="s">
        <v>10</v>
      </c>
      <c r="I431">
        <v>27</v>
      </c>
      <c r="J431" t="str">
        <f>_xlfn.IFNA(VLOOKUP(C431,merchants!$A$2:$D$41,2,FALSE),"Merchant not found")</f>
        <v>Merchant_035</v>
      </c>
      <c r="K431" t="str">
        <f>_xlfn.IFNA(VLOOKUP(C431,merchants!$A$2:$D$41,3,FALSE),"Merchant not found")</f>
        <v>recharge</v>
      </c>
      <c r="L431" t="str">
        <f>_xlfn.IFNA(VLOOKUP(C431,merchants!$A$2:$D$41,4,FALSE),"Merchant not found")</f>
        <v>East</v>
      </c>
      <c r="M431" s="2">
        <f>HLOOKUP(G431,Fees!$B$1:$E$2,2,FALSE)</f>
        <v>0</v>
      </c>
      <c r="N431" t="str">
        <f>IF(AND(K431&lt;&gt;"East",GETPIVOTDATA("amount_inr",'Daily Totals'!$A$4,"merchant_name",J431,"Days (transaction_time)",TEXT(D431,"dd-mmm"))&gt;5000),"High-Value Merchant Day", "Normal")</f>
        <v>Normal</v>
      </c>
    </row>
    <row r="432" spans="1:14" x14ac:dyDescent="0.3">
      <c r="A432" t="s">
        <v>445</v>
      </c>
      <c r="B432">
        <v>258</v>
      </c>
      <c r="C432">
        <v>19</v>
      </c>
      <c r="D432" s="1">
        <v>46047.047222222223</v>
      </c>
      <c r="E432" s="8">
        <f t="shared" si="6"/>
        <v>46047</v>
      </c>
      <c r="F432">
        <v>49</v>
      </c>
      <c r="G432" t="s">
        <v>9</v>
      </c>
      <c r="H432" t="s">
        <v>10</v>
      </c>
      <c r="I432">
        <v>29</v>
      </c>
      <c r="J432" t="str">
        <f>_xlfn.IFNA(VLOOKUP(C432,merchants!$A$2:$D$41,2,FALSE),"Merchant not found")</f>
        <v>Merchant_019</v>
      </c>
      <c r="K432" t="str">
        <f>_xlfn.IFNA(VLOOKUP(C432,merchants!$A$2:$D$41,3,FALSE),"Merchant not found")</f>
        <v>grocery</v>
      </c>
      <c r="L432" t="str">
        <f>_xlfn.IFNA(VLOOKUP(C432,merchants!$A$2:$D$41,4,FALSE),"Merchant not found")</f>
        <v>North</v>
      </c>
      <c r="M432" s="2">
        <f>HLOOKUP(G432,Fees!$B$1:$E$2,2,FALSE)</f>
        <v>1.4999999999999999E-2</v>
      </c>
      <c r="N432" t="str">
        <f>IF(AND(K432&lt;&gt;"East",GETPIVOTDATA("amount_inr",'Daily Totals'!$A$4,"merchant_name",J432,"Days (transaction_time)",TEXT(D432,"dd-mmm"))&gt;5000),"High-Value Merchant Day", "Normal")</f>
        <v>Normal</v>
      </c>
    </row>
    <row r="433" spans="1:14" x14ac:dyDescent="0.3">
      <c r="A433" t="s">
        <v>446</v>
      </c>
      <c r="B433">
        <v>164</v>
      </c>
      <c r="C433">
        <v>37</v>
      </c>
      <c r="D433" s="1">
        <v>46049.98333333333</v>
      </c>
      <c r="E433" s="8">
        <f t="shared" si="6"/>
        <v>46049</v>
      </c>
      <c r="F433">
        <v>799</v>
      </c>
      <c r="G433" t="s">
        <v>12</v>
      </c>
      <c r="H433" t="s">
        <v>10</v>
      </c>
      <c r="I433">
        <v>76</v>
      </c>
      <c r="J433" t="str">
        <f>_xlfn.IFNA(VLOOKUP(C433,merchants!$A$2:$D$41,2,FALSE),"Merchant not found")</f>
        <v>Merchant_037</v>
      </c>
      <c r="K433" t="str">
        <f>_xlfn.IFNA(VLOOKUP(C433,merchants!$A$2:$D$41,3,FALSE),"Merchant not found")</f>
        <v>entertainment</v>
      </c>
      <c r="L433" t="str">
        <f>_xlfn.IFNA(VLOOKUP(C433,merchants!$A$2:$D$41,4,FALSE),"Merchant not found")</f>
        <v>South</v>
      </c>
      <c r="M433" s="2">
        <f>HLOOKUP(G433,Fees!$B$1:$E$2,2,FALSE)</f>
        <v>0</v>
      </c>
      <c r="N433" t="str">
        <f>IF(AND(K433&lt;&gt;"East",GETPIVOTDATA("amount_inr",'Daily Totals'!$A$4,"merchant_name",J433,"Days (transaction_time)",TEXT(D433,"dd-mmm"))&gt;5000),"High-Value Merchant Day", "Normal")</f>
        <v>Normal</v>
      </c>
    </row>
    <row r="434" spans="1:14" x14ac:dyDescent="0.3">
      <c r="A434" t="s">
        <v>447</v>
      </c>
      <c r="B434">
        <v>165</v>
      </c>
      <c r="C434">
        <v>16</v>
      </c>
      <c r="D434" s="1">
        <v>46047.911111111112</v>
      </c>
      <c r="E434" s="8">
        <f t="shared" si="6"/>
        <v>46047</v>
      </c>
      <c r="F434">
        <v>49</v>
      </c>
      <c r="G434" t="s">
        <v>9</v>
      </c>
      <c r="H434" t="s">
        <v>10</v>
      </c>
      <c r="I434">
        <v>38</v>
      </c>
      <c r="J434" t="str">
        <f>_xlfn.IFNA(VLOOKUP(C434,merchants!$A$2:$D$41,2,FALSE),"Merchant not found")</f>
        <v>Merchant_016</v>
      </c>
      <c r="K434" t="str">
        <f>_xlfn.IFNA(VLOOKUP(C434,merchants!$A$2:$D$41,3,FALSE),"Merchant not found")</f>
        <v>bill_payment</v>
      </c>
      <c r="L434" t="str">
        <f>_xlfn.IFNA(VLOOKUP(C434,merchants!$A$2:$D$41,4,FALSE),"Merchant not found")</f>
        <v>West</v>
      </c>
      <c r="M434" s="2">
        <f>HLOOKUP(G434,Fees!$B$1:$E$2,2,FALSE)</f>
        <v>1.4999999999999999E-2</v>
      </c>
      <c r="N434" t="str">
        <f>IF(AND(K434&lt;&gt;"East",GETPIVOTDATA("amount_inr",'Daily Totals'!$A$4,"merchant_name",J434,"Days (transaction_time)",TEXT(D434,"dd-mmm"))&gt;5000),"High-Value Merchant Day", "Normal")</f>
        <v>Normal</v>
      </c>
    </row>
    <row r="435" spans="1:14" x14ac:dyDescent="0.3">
      <c r="A435" t="s">
        <v>448</v>
      </c>
      <c r="B435">
        <v>267</v>
      </c>
      <c r="C435">
        <v>15</v>
      </c>
      <c r="D435" s="1">
        <v>46051.195833333331</v>
      </c>
      <c r="E435" s="8">
        <f t="shared" si="6"/>
        <v>46051</v>
      </c>
      <c r="F435">
        <v>49</v>
      </c>
      <c r="G435" t="s">
        <v>15</v>
      </c>
      <c r="H435" t="s">
        <v>10</v>
      </c>
      <c r="I435">
        <v>52</v>
      </c>
      <c r="J435" t="str">
        <f>_xlfn.IFNA(VLOOKUP(C435,merchants!$A$2:$D$41,2,FALSE),"Merchant not found")</f>
        <v>Merchant_015</v>
      </c>
      <c r="K435" t="str">
        <f>_xlfn.IFNA(VLOOKUP(C435,merchants!$A$2:$D$41,3,FALSE),"Merchant not found")</f>
        <v>travel</v>
      </c>
      <c r="L435" t="str">
        <f>_xlfn.IFNA(VLOOKUP(C435,merchants!$A$2:$D$41,4,FALSE),"Merchant not found")</f>
        <v>North</v>
      </c>
      <c r="M435" s="2">
        <f>HLOOKUP(G435,Fees!$B$1:$E$2,2,FALSE)</f>
        <v>0.01</v>
      </c>
      <c r="N435" t="str">
        <f>IF(AND(K435&lt;&gt;"East",GETPIVOTDATA("amount_inr",'Daily Totals'!$A$4,"merchant_name",J435,"Days (transaction_time)",TEXT(D435,"dd-mmm"))&gt;5000),"High-Value Merchant Day", "Normal")</f>
        <v>Normal</v>
      </c>
    </row>
    <row r="436" spans="1:14" x14ac:dyDescent="0.3">
      <c r="A436" t="s">
        <v>449</v>
      </c>
      <c r="B436">
        <v>286</v>
      </c>
      <c r="C436">
        <v>38</v>
      </c>
      <c r="D436" s="1">
        <v>46032.335416666669</v>
      </c>
      <c r="E436" s="8">
        <f t="shared" si="6"/>
        <v>46032</v>
      </c>
      <c r="F436">
        <v>299</v>
      </c>
      <c r="G436" t="s">
        <v>9</v>
      </c>
      <c r="H436" t="s">
        <v>10</v>
      </c>
      <c r="I436">
        <v>94</v>
      </c>
      <c r="J436" t="str">
        <f>_xlfn.IFNA(VLOOKUP(C436,merchants!$A$2:$D$41,2,FALSE),"Merchant not found")</f>
        <v>Merchant_038</v>
      </c>
      <c r="K436" t="str">
        <f>_xlfn.IFNA(VLOOKUP(C436,merchants!$A$2:$D$41,3,FALSE),"Merchant not found")</f>
        <v>grocery</v>
      </c>
      <c r="L436" t="str">
        <f>_xlfn.IFNA(VLOOKUP(C436,merchants!$A$2:$D$41,4,FALSE),"Merchant not found")</f>
        <v>East</v>
      </c>
      <c r="M436" s="2">
        <f>HLOOKUP(G436,Fees!$B$1:$E$2,2,FALSE)</f>
        <v>1.4999999999999999E-2</v>
      </c>
      <c r="N436" t="str">
        <f>IF(AND(K436&lt;&gt;"East",GETPIVOTDATA("amount_inr",'Daily Totals'!$A$4,"merchant_name",J436,"Days (transaction_time)",TEXT(D436,"dd-mmm"))&gt;5000),"High-Value Merchant Day", "Normal")</f>
        <v>Normal</v>
      </c>
    </row>
    <row r="437" spans="1:14" x14ac:dyDescent="0.3">
      <c r="A437" t="s">
        <v>450</v>
      </c>
      <c r="B437">
        <v>348</v>
      </c>
      <c r="C437">
        <v>28</v>
      </c>
      <c r="D437" s="1">
        <v>46052.236111111109</v>
      </c>
      <c r="E437" s="8">
        <f t="shared" si="6"/>
        <v>46052</v>
      </c>
      <c r="F437">
        <v>499</v>
      </c>
      <c r="G437" t="s">
        <v>24</v>
      </c>
      <c r="H437" t="s">
        <v>10</v>
      </c>
      <c r="I437">
        <v>71</v>
      </c>
      <c r="J437" t="str">
        <f>_xlfn.IFNA(VLOOKUP(C437,merchants!$A$2:$D$41,2,FALSE),"Merchant not found")</f>
        <v>Merchant_028</v>
      </c>
      <c r="K437" t="str">
        <f>_xlfn.IFNA(VLOOKUP(C437,merchants!$A$2:$D$41,3,FALSE),"Merchant not found")</f>
        <v>ecommerce</v>
      </c>
      <c r="L437" t="str">
        <f>_xlfn.IFNA(VLOOKUP(C437,merchants!$A$2:$D$41,4,FALSE),"Merchant not found")</f>
        <v>South</v>
      </c>
      <c r="M437" s="2">
        <f>HLOOKUP(G437,Fees!$B$1:$E$2,2,FALSE)</f>
        <v>0.02</v>
      </c>
      <c r="N437" t="str">
        <f>IF(AND(K437&lt;&gt;"East",GETPIVOTDATA("amount_inr",'Daily Totals'!$A$4,"merchant_name",J437,"Days (transaction_time)",TEXT(D437,"dd-mmm"))&gt;5000),"High-Value Merchant Day", "Normal")</f>
        <v>Normal</v>
      </c>
    </row>
    <row r="438" spans="1:14" x14ac:dyDescent="0.3">
      <c r="A438" t="s">
        <v>451</v>
      </c>
      <c r="B438">
        <v>330</v>
      </c>
      <c r="C438">
        <v>25</v>
      </c>
      <c r="D438" s="1">
        <v>46038.056944444441</v>
      </c>
      <c r="E438" s="8">
        <f t="shared" si="6"/>
        <v>46038</v>
      </c>
      <c r="F438">
        <v>799</v>
      </c>
      <c r="G438" t="s">
        <v>12</v>
      </c>
      <c r="H438" t="s">
        <v>10</v>
      </c>
      <c r="I438">
        <v>100</v>
      </c>
      <c r="J438" t="str">
        <f>_xlfn.IFNA(VLOOKUP(C438,merchants!$A$2:$D$41,2,FALSE),"Merchant not found")</f>
        <v>Merchant_025</v>
      </c>
      <c r="K438" t="str">
        <f>_xlfn.IFNA(VLOOKUP(C438,merchants!$A$2:$D$41,3,FALSE),"Merchant not found")</f>
        <v>travel</v>
      </c>
      <c r="L438" t="str">
        <f>_xlfn.IFNA(VLOOKUP(C438,merchants!$A$2:$D$41,4,FALSE),"Merchant not found")</f>
        <v>South</v>
      </c>
      <c r="M438" s="2">
        <f>HLOOKUP(G438,Fees!$B$1:$E$2,2,FALSE)</f>
        <v>0</v>
      </c>
      <c r="N438" t="str">
        <f>IF(AND(K438&lt;&gt;"East",GETPIVOTDATA("amount_inr",'Daily Totals'!$A$4,"merchant_name",J438,"Days (transaction_time)",TEXT(D438,"dd-mmm"))&gt;5000),"High-Value Merchant Day", "Normal")</f>
        <v>Normal</v>
      </c>
    </row>
    <row r="439" spans="1:14" x14ac:dyDescent="0.3">
      <c r="A439" t="s">
        <v>452</v>
      </c>
      <c r="B439">
        <v>214</v>
      </c>
      <c r="C439">
        <v>27</v>
      </c>
      <c r="D439" s="1">
        <v>46039.447222222225</v>
      </c>
      <c r="E439" s="8">
        <f t="shared" si="6"/>
        <v>46039</v>
      </c>
      <c r="F439">
        <v>299</v>
      </c>
      <c r="G439" t="s">
        <v>24</v>
      </c>
      <c r="H439" t="s">
        <v>10</v>
      </c>
      <c r="I439">
        <v>19</v>
      </c>
      <c r="J439" t="str">
        <f>_xlfn.IFNA(VLOOKUP(C439,merchants!$A$2:$D$41,2,FALSE),"Merchant not found")</f>
        <v>Merchant_027</v>
      </c>
      <c r="K439" t="str">
        <f>_xlfn.IFNA(VLOOKUP(C439,merchants!$A$2:$D$41,3,FALSE),"Merchant not found")</f>
        <v>ecommerce</v>
      </c>
      <c r="L439" t="str">
        <f>_xlfn.IFNA(VLOOKUP(C439,merchants!$A$2:$D$41,4,FALSE),"Merchant not found")</f>
        <v>North</v>
      </c>
      <c r="M439" s="2">
        <f>HLOOKUP(G439,Fees!$B$1:$E$2,2,FALSE)</f>
        <v>0.02</v>
      </c>
      <c r="N439" t="str">
        <f>IF(AND(K439&lt;&gt;"East",GETPIVOTDATA("amount_inr",'Daily Totals'!$A$4,"merchant_name",J439,"Days (transaction_time)",TEXT(D439,"dd-mmm"))&gt;5000),"High-Value Merchant Day", "Normal")</f>
        <v>Normal</v>
      </c>
    </row>
    <row r="440" spans="1:14" x14ac:dyDescent="0.3">
      <c r="A440" t="s">
        <v>453</v>
      </c>
      <c r="B440">
        <v>276</v>
      </c>
      <c r="C440">
        <v>31</v>
      </c>
      <c r="D440" s="1">
        <v>46032.507638888892</v>
      </c>
      <c r="E440" s="8">
        <f t="shared" si="6"/>
        <v>46032</v>
      </c>
      <c r="F440">
        <v>499</v>
      </c>
      <c r="G440" t="s">
        <v>12</v>
      </c>
      <c r="H440" t="s">
        <v>10</v>
      </c>
      <c r="I440">
        <v>30</v>
      </c>
      <c r="J440" t="str">
        <f>_xlfn.IFNA(VLOOKUP(C440,merchants!$A$2:$D$41,2,FALSE),"Merchant not found")</f>
        <v>Merchant_031</v>
      </c>
      <c r="K440" t="str">
        <f>_xlfn.IFNA(VLOOKUP(C440,merchants!$A$2:$D$41,3,FALSE),"Merchant not found")</f>
        <v>bill_payment</v>
      </c>
      <c r="L440" t="str">
        <f>_xlfn.IFNA(VLOOKUP(C440,merchants!$A$2:$D$41,4,FALSE),"Merchant not found")</f>
        <v>East</v>
      </c>
      <c r="M440" s="2">
        <f>HLOOKUP(G440,Fees!$B$1:$E$2,2,FALSE)</f>
        <v>0</v>
      </c>
      <c r="N440" t="str">
        <f>IF(AND(K440&lt;&gt;"East",GETPIVOTDATA("amount_inr",'Daily Totals'!$A$4,"merchant_name",J440,"Days (transaction_time)",TEXT(D440,"dd-mmm"))&gt;5000),"High-Value Merchant Day", "Normal")</f>
        <v>Normal</v>
      </c>
    </row>
    <row r="441" spans="1:14" x14ac:dyDescent="0.3">
      <c r="A441" t="s">
        <v>454</v>
      </c>
      <c r="B441">
        <v>74</v>
      </c>
      <c r="C441">
        <v>30</v>
      </c>
      <c r="D441" s="1">
        <v>46050.304861111108</v>
      </c>
      <c r="E441" s="8">
        <f t="shared" si="6"/>
        <v>46050</v>
      </c>
      <c r="F441">
        <v>49</v>
      </c>
      <c r="G441" t="s">
        <v>12</v>
      </c>
      <c r="H441" t="s">
        <v>10</v>
      </c>
      <c r="I441">
        <v>7</v>
      </c>
      <c r="J441" t="str">
        <f>_xlfn.IFNA(VLOOKUP(C441,merchants!$A$2:$D$41,2,FALSE),"Merchant not found")</f>
        <v>Merchant_030</v>
      </c>
      <c r="K441" t="str">
        <f>_xlfn.IFNA(VLOOKUP(C441,merchants!$A$2:$D$41,3,FALSE),"Merchant not found")</f>
        <v>travel</v>
      </c>
      <c r="L441" t="str">
        <f>_xlfn.IFNA(VLOOKUP(C441,merchants!$A$2:$D$41,4,FALSE),"Merchant not found")</f>
        <v>West</v>
      </c>
      <c r="M441" s="2">
        <f>HLOOKUP(G441,Fees!$B$1:$E$2,2,FALSE)</f>
        <v>0</v>
      </c>
      <c r="N441" t="str">
        <f>IF(AND(K441&lt;&gt;"East",GETPIVOTDATA("amount_inr",'Daily Totals'!$A$4,"merchant_name",J441,"Days (transaction_time)",TEXT(D441,"dd-mmm"))&gt;5000),"High-Value Merchant Day", "Normal")</f>
        <v>Normal</v>
      </c>
    </row>
    <row r="442" spans="1:14" x14ac:dyDescent="0.3">
      <c r="A442" t="s">
        <v>455</v>
      </c>
      <c r="B442">
        <v>286</v>
      </c>
      <c r="C442">
        <v>34</v>
      </c>
      <c r="D442" s="1">
        <v>46040.55972222222</v>
      </c>
      <c r="E442" s="8">
        <f t="shared" si="6"/>
        <v>46040</v>
      </c>
      <c r="F442">
        <v>49</v>
      </c>
      <c r="G442" t="s">
        <v>24</v>
      </c>
      <c r="H442" t="s">
        <v>10</v>
      </c>
      <c r="I442">
        <v>17</v>
      </c>
      <c r="J442" t="str">
        <f>_xlfn.IFNA(VLOOKUP(C442,merchants!$A$2:$D$41,2,FALSE),"Merchant not found")</f>
        <v>Merchant_034</v>
      </c>
      <c r="K442" t="str">
        <f>_xlfn.IFNA(VLOOKUP(C442,merchants!$A$2:$D$41,3,FALSE),"Merchant not found")</f>
        <v>travel</v>
      </c>
      <c r="L442" t="str">
        <f>_xlfn.IFNA(VLOOKUP(C442,merchants!$A$2:$D$41,4,FALSE),"Merchant not found")</f>
        <v>South</v>
      </c>
      <c r="M442" s="2">
        <f>HLOOKUP(G442,Fees!$B$1:$E$2,2,FALSE)</f>
        <v>0.02</v>
      </c>
      <c r="N442" t="str">
        <f>IF(AND(K442&lt;&gt;"East",GETPIVOTDATA("amount_inr",'Daily Totals'!$A$4,"merchant_name",J442,"Days (transaction_time)",TEXT(D442,"dd-mmm"))&gt;5000),"High-Value Merchant Day", "Normal")</f>
        <v>Normal</v>
      </c>
    </row>
    <row r="443" spans="1:14" x14ac:dyDescent="0.3">
      <c r="A443" t="s">
        <v>456</v>
      </c>
      <c r="B443">
        <v>105</v>
      </c>
      <c r="C443">
        <v>22</v>
      </c>
      <c r="D443" s="1">
        <v>46035.302777777775</v>
      </c>
      <c r="E443" s="8">
        <f t="shared" si="6"/>
        <v>46035</v>
      </c>
      <c r="F443">
        <v>4999</v>
      </c>
      <c r="G443" t="s">
        <v>12</v>
      </c>
      <c r="H443" t="s">
        <v>10</v>
      </c>
      <c r="I443">
        <v>82</v>
      </c>
      <c r="J443" t="str">
        <f>_xlfn.IFNA(VLOOKUP(C443,merchants!$A$2:$D$41,2,FALSE),"Merchant not found")</f>
        <v>Merchant_022</v>
      </c>
      <c r="K443" t="str">
        <f>_xlfn.IFNA(VLOOKUP(C443,merchants!$A$2:$D$41,3,FALSE),"Merchant not found")</f>
        <v>travel</v>
      </c>
      <c r="L443" t="str">
        <f>_xlfn.IFNA(VLOOKUP(C443,merchants!$A$2:$D$41,4,FALSE),"Merchant not found")</f>
        <v>South</v>
      </c>
      <c r="M443" s="2">
        <f>HLOOKUP(G443,Fees!$B$1:$E$2,2,FALSE)</f>
        <v>0</v>
      </c>
      <c r="N443" t="str">
        <f>IF(AND(K443&lt;&gt;"East",GETPIVOTDATA("amount_inr",'Daily Totals'!$A$4,"merchant_name",J443,"Days (transaction_time)",TEXT(D443,"dd-mmm"))&gt;5000),"High-Value Merchant Day", "Normal")</f>
        <v>High-Value Merchant Day</v>
      </c>
    </row>
    <row r="444" spans="1:14" x14ac:dyDescent="0.3">
      <c r="A444" t="s">
        <v>457</v>
      </c>
      <c r="B444">
        <v>190</v>
      </c>
      <c r="C444">
        <v>6</v>
      </c>
      <c r="D444" s="1">
        <v>46025.620833333334</v>
      </c>
      <c r="E444" s="8">
        <f t="shared" si="6"/>
        <v>46025</v>
      </c>
      <c r="F444">
        <v>799</v>
      </c>
      <c r="G444" t="s">
        <v>9</v>
      </c>
      <c r="H444" t="s">
        <v>10</v>
      </c>
      <c r="I444">
        <v>68</v>
      </c>
      <c r="J444" t="str">
        <f>_xlfn.IFNA(VLOOKUP(C444,merchants!$A$2:$D$41,2,FALSE),"Merchant not found")</f>
        <v>Merchant_006</v>
      </c>
      <c r="K444" t="str">
        <f>_xlfn.IFNA(VLOOKUP(C444,merchants!$A$2:$D$41,3,FALSE),"Merchant not found")</f>
        <v>food_delivery</v>
      </c>
      <c r="L444" t="str">
        <f>_xlfn.IFNA(VLOOKUP(C444,merchants!$A$2:$D$41,4,FALSE),"Merchant not found")</f>
        <v>South</v>
      </c>
      <c r="M444" s="2">
        <f>HLOOKUP(G444,Fees!$B$1:$E$2,2,FALSE)</f>
        <v>1.4999999999999999E-2</v>
      </c>
      <c r="N444" t="str">
        <f>IF(AND(K444&lt;&gt;"East",GETPIVOTDATA("amount_inr",'Daily Totals'!$A$4,"merchant_name",J444,"Days (transaction_time)",TEXT(D444,"dd-mmm"))&gt;5000),"High-Value Merchant Day", "Normal")</f>
        <v>Normal</v>
      </c>
    </row>
    <row r="445" spans="1:14" x14ac:dyDescent="0.3">
      <c r="A445" t="s">
        <v>458</v>
      </c>
      <c r="B445">
        <v>138</v>
      </c>
      <c r="C445">
        <v>25</v>
      </c>
      <c r="D445" s="1">
        <v>46046.252083333333</v>
      </c>
      <c r="E445" s="8">
        <f t="shared" si="6"/>
        <v>46046</v>
      </c>
      <c r="F445">
        <v>299</v>
      </c>
      <c r="G445" t="s">
        <v>9</v>
      </c>
      <c r="H445" t="s">
        <v>10</v>
      </c>
      <c r="I445">
        <v>86</v>
      </c>
      <c r="J445" t="str">
        <f>_xlfn.IFNA(VLOOKUP(C445,merchants!$A$2:$D$41,2,FALSE),"Merchant not found")</f>
        <v>Merchant_025</v>
      </c>
      <c r="K445" t="str">
        <f>_xlfn.IFNA(VLOOKUP(C445,merchants!$A$2:$D$41,3,FALSE),"Merchant not found")</f>
        <v>travel</v>
      </c>
      <c r="L445" t="str">
        <f>_xlfn.IFNA(VLOOKUP(C445,merchants!$A$2:$D$41,4,FALSE),"Merchant not found")</f>
        <v>South</v>
      </c>
      <c r="M445" s="2">
        <f>HLOOKUP(G445,Fees!$B$1:$E$2,2,FALSE)</f>
        <v>1.4999999999999999E-2</v>
      </c>
      <c r="N445" t="str">
        <f>IF(AND(K445&lt;&gt;"East",GETPIVOTDATA("amount_inr",'Daily Totals'!$A$4,"merchant_name",J445,"Days (transaction_time)",TEXT(D445,"dd-mmm"))&gt;5000),"High-Value Merchant Day", "Normal")</f>
        <v>Normal</v>
      </c>
    </row>
    <row r="446" spans="1:14" x14ac:dyDescent="0.3">
      <c r="A446" t="s">
        <v>459</v>
      </c>
      <c r="B446">
        <v>38</v>
      </c>
      <c r="C446">
        <v>13</v>
      </c>
      <c r="D446" s="1">
        <v>46042.793055555558</v>
      </c>
      <c r="E446" s="8">
        <f t="shared" si="6"/>
        <v>46042</v>
      </c>
      <c r="F446">
        <v>4999</v>
      </c>
      <c r="G446" t="s">
        <v>15</v>
      </c>
      <c r="H446" t="s">
        <v>10</v>
      </c>
      <c r="I446">
        <v>97</v>
      </c>
      <c r="J446" t="str">
        <f>_xlfn.IFNA(VLOOKUP(C446,merchants!$A$2:$D$41,2,FALSE),"Merchant not found")</f>
        <v>Merchant_013</v>
      </c>
      <c r="K446" t="str">
        <f>_xlfn.IFNA(VLOOKUP(C446,merchants!$A$2:$D$41,3,FALSE),"Merchant not found")</f>
        <v>travel</v>
      </c>
      <c r="L446" t="str">
        <f>_xlfn.IFNA(VLOOKUP(C446,merchants!$A$2:$D$41,4,FALSE),"Merchant not found")</f>
        <v>East</v>
      </c>
      <c r="M446" s="2">
        <f>HLOOKUP(G446,Fees!$B$1:$E$2,2,FALSE)</f>
        <v>0.01</v>
      </c>
      <c r="N446" t="str">
        <f>IF(AND(K446&lt;&gt;"East",GETPIVOTDATA("amount_inr",'Daily Totals'!$A$4,"merchant_name",J446,"Days (transaction_time)",TEXT(D446,"dd-mmm"))&gt;5000),"High-Value Merchant Day", "Normal")</f>
        <v>Normal</v>
      </c>
    </row>
    <row r="447" spans="1:14" x14ac:dyDescent="0.3">
      <c r="A447" t="s">
        <v>460</v>
      </c>
      <c r="B447">
        <v>287</v>
      </c>
      <c r="C447">
        <v>14</v>
      </c>
      <c r="D447" s="1">
        <v>46041.987500000003</v>
      </c>
      <c r="E447" s="8">
        <f t="shared" si="6"/>
        <v>46041</v>
      </c>
      <c r="F447">
        <v>99</v>
      </c>
      <c r="G447" t="s">
        <v>9</v>
      </c>
      <c r="H447" t="s">
        <v>10</v>
      </c>
      <c r="I447">
        <v>61</v>
      </c>
      <c r="J447" t="str">
        <f>_xlfn.IFNA(VLOOKUP(C447,merchants!$A$2:$D$41,2,FALSE),"Merchant not found")</f>
        <v>Merchant_014</v>
      </c>
      <c r="K447" t="str">
        <f>_xlfn.IFNA(VLOOKUP(C447,merchants!$A$2:$D$41,3,FALSE),"Merchant not found")</f>
        <v>grocery</v>
      </c>
      <c r="L447" t="str">
        <f>_xlfn.IFNA(VLOOKUP(C447,merchants!$A$2:$D$41,4,FALSE),"Merchant not found")</f>
        <v>East</v>
      </c>
      <c r="M447" s="2">
        <f>HLOOKUP(G447,Fees!$B$1:$E$2,2,FALSE)</f>
        <v>1.4999999999999999E-2</v>
      </c>
      <c r="N447" t="str">
        <f>IF(AND(K447&lt;&gt;"East",GETPIVOTDATA("amount_inr",'Daily Totals'!$A$4,"merchant_name",J447,"Days (transaction_time)",TEXT(D447,"dd-mmm"))&gt;5000),"High-Value Merchant Day", "Normal")</f>
        <v>Normal</v>
      </c>
    </row>
    <row r="448" spans="1:14" x14ac:dyDescent="0.3">
      <c r="A448" t="s">
        <v>461</v>
      </c>
      <c r="B448">
        <v>8</v>
      </c>
      <c r="C448">
        <v>14</v>
      </c>
      <c r="D448" s="1">
        <v>46029.429861111108</v>
      </c>
      <c r="E448" s="8">
        <f t="shared" si="6"/>
        <v>46029</v>
      </c>
      <c r="F448">
        <v>49</v>
      </c>
      <c r="G448" t="s">
        <v>12</v>
      </c>
      <c r="H448" t="s">
        <v>10</v>
      </c>
      <c r="I448">
        <v>24</v>
      </c>
      <c r="J448" t="str">
        <f>_xlfn.IFNA(VLOOKUP(C448,merchants!$A$2:$D$41,2,FALSE),"Merchant not found")</f>
        <v>Merchant_014</v>
      </c>
      <c r="K448" t="str">
        <f>_xlfn.IFNA(VLOOKUP(C448,merchants!$A$2:$D$41,3,FALSE),"Merchant not found")</f>
        <v>grocery</v>
      </c>
      <c r="L448" t="str">
        <f>_xlfn.IFNA(VLOOKUP(C448,merchants!$A$2:$D$41,4,FALSE),"Merchant not found")</f>
        <v>East</v>
      </c>
      <c r="M448" s="2">
        <f>HLOOKUP(G448,Fees!$B$1:$E$2,2,FALSE)</f>
        <v>0</v>
      </c>
      <c r="N448" t="str">
        <f>IF(AND(K448&lt;&gt;"East",GETPIVOTDATA("amount_inr",'Daily Totals'!$A$4,"merchant_name",J448,"Days (transaction_time)",TEXT(D448,"dd-mmm"))&gt;5000),"High-Value Merchant Day", "Normal")</f>
        <v>Normal</v>
      </c>
    </row>
    <row r="449" spans="1:14" x14ac:dyDescent="0.3">
      <c r="A449" t="s">
        <v>462</v>
      </c>
      <c r="B449">
        <v>246</v>
      </c>
      <c r="C449">
        <v>16</v>
      </c>
      <c r="D449" s="1">
        <v>46046.157638888886</v>
      </c>
      <c r="E449" s="8">
        <f t="shared" si="6"/>
        <v>46046</v>
      </c>
      <c r="F449">
        <v>1499</v>
      </c>
      <c r="G449" t="s">
        <v>9</v>
      </c>
      <c r="H449" t="s">
        <v>10</v>
      </c>
      <c r="I449">
        <v>89</v>
      </c>
      <c r="J449" t="str">
        <f>_xlfn.IFNA(VLOOKUP(C449,merchants!$A$2:$D$41,2,FALSE),"Merchant not found")</f>
        <v>Merchant_016</v>
      </c>
      <c r="K449" t="str">
        <f>_xlfn.IFNA(VLOOKUP(C449,merchants!$A$2:$D$41,3,FALSE),"Merchant not found")</f>
        <v>bill_payment</v>
      </c>
      <c r="L449" t="str">
        <f>_xlfn.IFNA(VLOOKUP(C449,merchants!$A$2:$D$41,4,FALSE),"Merchant not found")</f>
        <v>West</v>
      </c>
      <c r="M449" s="2">
        <f>HLOOKUP(G449,Fees!$B$1:$E$2,2,FALSE)</f>
        <v>1.4999999999999999E-2</v>
      </c>
      <c r="N449" t="str">
        <f>IF(AND(K449&lt;&gt;"East",GETPIVOTDATA("amount_inr",'Daily Totals'!$A$4,"merchant_name",J449,"Days (transaction_time)",TEXT(D449,"dd-mmm"))&gt;5000),"High-Value Merchant Day", "Normal")</f>
        <v>Normal</v>
      </c>
    </row>
    <row r="450" spans="1:14" x14ac:dyDescent="0.3">
      <c r="A450" t="s">
        <v>463</v>
      </c>
      <c r="B450">
        <v>204</v>
      </c>
      <c r="C450">
        <v>16</v>
      </c>
      <c r="D450" s="1">
        <v>46042.925694444442</v>
      </c>
      <c r="E450" s="8">
        <f t="shared" si="6"/>
        <v>46042</v>
      </c>
      <c r="F450">
        <v>149</v>
      </c>
      <c r="G450" t="s">
        <v>12</v>
      </c>
      <c r="H450" t="s">
        <v>10</v>
      </c>
      <c r="I450">
        <v>70</v>
      </c>
      <c r="J450" t="str">
        <f>_xlfn.IFNA(VLOOKUP(C450,merchants!$A$2:$D$41,2,FALSE),"Merchant not found")</f>
        <v>Merchant_016</v>
      </c>
      <c r="K450" t="str">
        <f>_xlfn.IFNA(VLOOKUP(C450,merchants!$A$2:$D$41,3,FALSE),"Merchant not found")</f>
        <v>bill_payment</v>
      </c>
      <c r="L450" t="str">
        <f>_xlfn.IFNA(VLOOKUP(C450,merchants!$A$2:$D$41,4,FALSE),"Merchant not found")</f>
        <v>West</v>
      </c>
      <c r="M450" s="2">
        <f>HLOOKUP(G450,Fees!$B$1:$E$2,2,FALSE)</f>
        <v>0</v>
      </c>
      <c r="N450" t="str">
        <f>IF(AND(K450&lt;&gt;"East",GETPIVOTDATA("amount_inr",'Daily Totals'!$A$4,"merchant_name",J450,"Days (transaction_time)",TEXT(D450,"dd-mmm"))&gt;5000),"High-Value Merchant Day", "Normal")</f>
        <v>Normal</v>
      </c>
    </row>
    <row r="451" spans="1:14" x14ac:dyDescent="0.3">
      <c r="A451" t="s">
        <v>464</v>
      </c>
      <c r="B451">
        <v>239</v>
      </c>
      <c r="C451">
        <v>35</v>
      </c>
      <c r="D451" s="1">
        <v>46033.39166666667</v>
      </c>
      <c r="E451" s="8">
        <f t="shared" ref="E451:E514" si="7">INT(D451)</f>
        <v>46033</v>
      </c>
      <c r="F451">
        <v>4999</v>
      </c>
      <c r="G451" t="s">
        <v>12</v>
      </c>
      <c r="H451" t="s">
        <v>10</v>
      </c>
      <c r="I451">
        <v>83</v>
      </c>
      <c r="J451" t="str">
        <f>_xlfn.IFNA(VLOOKUP(C451,merchants!$A$2:$D$41,2,FALSE),"Merchant not found")</f>
        <v>Merchant_035</v>
      </c>
      <c r="K451" t="str">
        <f>_xlfn.IFNA(VLOOKUP(C451,merchants!$A$2:$D$41,3,FALSE),"Merchant not found")</f>
        <v>recharge</v>
      </c>
      <c r="L451" t="str">
        <f>_xlfn.IFNA(VLOOKUP(C451,merchants!$A$2:$D$41,4,FALSE),"Merchant not found")</f>
        <v>East</v>
      </c>
      <c r="M451" s="2">
        <f>HLOOKUP(G451,Fees!$B$1:$E$2,2,FALSE)</f>
        <v>0</v>
      </c>
      <c r="N451" t="str">
        <f>IF(AND(K451&lt;&gt;"East",GETPIVOTDATA("amount_inr",'Daily Totals'!$A$4,"merchant_name",J451,"Days (transaction_time)",TEXT(D451,"dd-mmm"))&gt;5000),"High-Value Merchant Day", "Normal")</f>
        <v>Normal</v>
      </c>
    </row>
    <row r="452" spans="1:14" x14ac:dyDescent="0.3">
      <c r="A452" t="s">
        <v>465</v>
      </c>
      <c r="B452">
        <v>185</v>
      </c>
      <c r="C452">
        <v>33</v>
      </c>
      <c r="D452" s="1">
        <v>46034.386111111111</v>
      </c>
      <c r="E452" s="8">
        <f t="shared" si="7"/>
        <v>46034</v>
      </c>
      <c r="F452">
        <v>299</v>
      </c>
      <c r="G452" t="s">
        <v>12</v>
      </c>
      <c r="H452" t="s">
        <v>10</v>
      </c>
      <c r="I452">
        <v>63</v>
      </c>
      <c r="J452" t="str">
        <f>_xlfn.IFNA(VLOOKUP(C452,merchants!$A$2:$D$41,2,FALSE),"Merchant not found")</f>
        <v>Merchant_033</v>
      </c>
      <c r="K452" t="str">
        <f>_xlfn.IFNA(VLOOKUP(C452,merchants!$A$2:$D$41,3,FALSE),"Merchant not found")</f>
        <v>bill_payment</v>
      </c>
      <c r="L452" t="str">
        <f>_xlfn.IFNA(VLOOKUP(C452,merchants!$A$2:$D$41,4,FALSE),"Merchant not found")</f>
        <v>East</v>
      </c>
      <c r="M452" s="2">
        <f>HLOOKUP(G452,Fees!$B$1:$E$2,2,FALSE)</f>
        <v>0</v>
      </c>
      <c r="N452" t="str">
        <f>IF(AND(K452&lt;&gt;"East",GETPIVOTDATA("amount_inr",'Daily Totals'!$A$4,"merchant_name",J452,"Days (transaction_time)",TEXT(D452,"dd-mmm"))&gt;5000),"High-Value Merchant Day", "Normal")</f>
        <v>Normal</v>
      </c>
    </row>
    <row r="453" spans="1:14" x14ac:dyDescent="0.3">
      <c r="A453" t="s">
        <v>466</v>
      </c>
      <c r="B453">
        <v>241</v>
      </c>
      <c r="C453">
        <v>21</v>
      </c>
      <c r="D453" s="1">
        <v>46037.160416666666</v>
      </c>
      <c r="E453" s="8">
        <f t="shared" si="7"/>
        <v>46037</v>
      </c>
      <c r="F453">
        <v>299</v>
      </c>
      <c r="G453" t="s">
        <v>24</v>
      </c>
      <c r="H453" t="s">
        <v>10</v>
      </c>
      <c r="I453">
        <v>26</v>
      </c>
      <c r="J453" t="str">
        <f>_xlfn.IFNA(VLOOKUP(C453,merchants!$A$2:$D$41,2,FALSE),"Merchant not found")</f>
        <v>Merchant_021</v>
      </c>
      <c r="K453" t="str">
        <f>_xlfn.IFNA(VLOOKUP(C453,merchants!$A$2:$D$41,3,FALSE),"Merchant not found")</f>
        <v>food_delivery</v>
      </c>
      <c r="L453" t="str">
        <f>_xlfn.IFNA(VLOOKUP(C453,merchants!$A$2:$D$41,4,FALSE),"Merchant not found")</f>
        <v>East</v>
      </c>
      <c r="M453" s="2">
        <f>HLOOKUP(G453,Fees!$B$1:$E$2,2,FALSE)</f>
        <v>0.02</v>
      </c>
      <c r="N453" t="str">
        <f>IF(AND(K453&lt;&gt;"East",GETPIVOTDATA("amount_inr",'Daily Totals'!$A$4,"merchant_name",J453,"Days (transaction_time)",TEXT(D453,"dd-mmm"))&gt;5000),"High-Value Merchant Day", "Normal")</f>
        <v>Normal</v>
      </c>
    </row>
    <row r="454" spans="1:14" x14ac:dyDescent="0.3">
      <c r="A454" t="s">
        <v>467</v>
      </c>
      <c r="B454">
        <v>24</v>
      </c>
      <c r="C454">
        <v>37</v>
      </c>
      <c r="D454" s="1">
        <v>46034.43472222222</v>
      </c>
      <c r="E454" s="8">
        <f t="shared" si="7"/>
        <v>46034</v>
      </c>
      <c r="F454">
        <v>149</v>
      </c>
      <c r="G454" t="s">
        <v>12</v>
      </c>
      <c r="H454" t="s">
        <v>10</v>
      </c>
      <c r="I454">
        <v>28</v>
      </c>
      <c r="J454" t="str">
        <f>_xlfn.IFNA(VLOOKUP(C454,merchants!$A$2:$D$41,2,FALSE),"Merchant not found")</f>
        <v>Merchant_037</v>
      </c>
      <c r="K454" t="str">
        <f>_xlfn.IFNA(VLOOKUP(C454,merchants!$A$2:$D$41,3,FALSE),"Merchant not found")</f>
        <v>entertainment</v>
      </c>
      <c r="L454" t="str">
        <f>_xlfn.IFNA(VLOOKUP(C454,merchants!$A$2:$D$41,4,FALSE),"Merchant not found")</f>
        <v>South</v>
      </c>
      <c r="M454" s="2">
        <f>HLOOKUP(G454,Fees!$B$1:$E$2,2,FALSE)</f>
        <v>0</v>
      </c>
      <c r="N454" t="str">
        <f>IF(AND(K454&lt;&gt;"East",GETPIVOTDATA("amount_inr",'Daily Totals'!$A$4,"merchant_name",J454,"Days (transaction_time)",TEXT(D454,"dd-mmm"))&gt;5000),"High-Value Merchant Day", "Normal")</f>
        <v>Normal</v>
      </c>
    </row>
    <row r="455" spans="1:14" x14ac:dyDescent="0.3">
      <c r="A455" t="s">
        <v>468</v>
      </c>
      <c r="B455">
        <v>134</v>
      </c>
      <c r="C455">
        <v>36</v>
      </c>
      <c r="D455" s="1">
        <v>46046.167361111111</v>
      </c>
      <c r="E455" s="8">
        <f t="shared" si="7"/>
        <v>46046</v>
      </c>
      <c r="F455">
        <v>1499</v>
      </c>
      <c r="G455" t="s">
        <v>12</v>
      </c>
      <c r="H455" t="s">
        <v>10</v>
      </c>
      <c r="I455">
        <v>74</v>
      </c>
      <c r="J455" t="str">
        <f>_xlfn.IFNA(VLOOKUP(C455,merchants!$A$2:$D$41,2,FALSE),"Merchant not found")</f>
        <v>Merchant_036</v>
      </c>
      <c r="K455" t="str">
        <f>_xlfn.IFNA(VLOOKUP(C455,merchants!$A$2:$D$41,3,FALSE),"Merchant not found")</f>
        <v>entertainment</v>
      </c>
      <c r="L455" t="str">
        <f>_xlfn.IFNA(VLOOKUP(C455,merchants!$A$2:$D$41,4,FALSE),"Merchant not found")</f>
        <v>East</v>
      </c>
      <c r="M455" s="2">
        <f>HLOOKUP(G455,Fees!$B$1:$E$2,2,FALSE)</f>
        <v>0</v>
      </c>
      <c r="N455" t="str">
        <f>IF(AND(K455&lt;&gt;"East",GETPIVOTDATA("amount_inr",'Daily Totals'!$A$4,"merchant_name",J455,"Days (transaction_time)",TEXT(D455,"dd-mmm"))&gt;5000),"High-Value Merchant Day", "Normal")</f>
        <v>Normal</v>
      </c>
    </row>
    <row r="456" spans="1:14" x14ac:dyDescent="0.3">
      <c r="A456" t="s">
        <v>469</v>
      </c>
      <c r="B456">
        <v>152</v>
      </c>
      <c r="C456">
        <v>10</v>
      </c>
      <c r="D456" s="1">
        <v>46041.976388888892</v>
      </c>
      <c r="E456" s="8">
        <f t="shared" si="7"/>
        <v>46041</v>
      </c>
      <c r="F456">
        <v>499</v>
      </c>
      <c r="G456" t="s">
        <v>9</v>
      </c>
      <c r="H456" t="s">
        <v>10</v>
      </c>
      <c r="I456">
        <v>25</v>
      </c>
      <c r="J456" t="str">
        <f>_xlfn.IFNA(VLOOKUP(C456,merchants!$A$2:$D$41,2,FALSE),"Merchant not found")</f>
        <v>Merchant_010</v>
      </c>
      <c r="K456" t="str">
        <f>_xlfn.IFNA(VLOOKUP(C456,merchants!$A$2:$D$41,3,FALSE),"Merchant not found")</f>
        <v>grocery</v>
      </c>
      <c r="L456" t="str">
        <f>_xlfn.IFNA(VLOOKUP(C456,merchants!$A$2:$D$41,4,FALSE),"Merchant not found")</f>
        <v>West</v>
      </c>
      <c r="M456" s="2">
        <f>HLOOKUP(G456,Fees!$B$1:$E$2,2,FALSE)</f>
        <v>1.4999999999999999E-2</v>
      </c>
      <c r="N456" t="str">
        <f>IF(AND(K456&lt;&gt;"East",GETPIVOTDATA("amount_inr",'Daily Totals'!$A$4,"merchant_name",J456,"Days (transaction_time)",TEXT(D456,"dd-mmm"))&gt;5000),"High-Value Merchant Day", "Normal")</f>
        <v>Normal</v>
      </c>
    </row>
    <row r="457" spans="1:14" x14ac:dyDescent="0.3">
      <c r="A457" t="s">
        <v>470</v>
      </c>
      <c r="B457">
        <v>292</v>
      </c>
      <c r="C457">
        <v>16</v>
      </c>
      <c r="D457" s="1">
        <v>46033.308333333334</v>
      </c>
      <c r="E457" s="8">
        <f t="shared" si="7"/>
        <v>46033</v>
      </c>
      <c r="F457">
        <v>499</v>
      </c>
      <c r="G457" t="s">
        <v>15</v>
      </c>
      <c r="H457" t="s">
        <v>10</v>
      </c>
      <c r="I457">
        <v>63</v>
      </c>
      <c r="J457" t="str">
        <f>_xlfn.IFNA(VLOOKUP(C457,merchants!$A$2:$D$41,2,FALSE),"Merchant not found")</f>
        <v>Merchant_016</v>
      </c>
      <c r="K457" t="str">
        <f>_xlfn.IFNA(VLOOKUP(C457,merchants!$A$2:$D$41,3,FALSE),"Merchant not found")</f>
        <v>bill_payment</v>
      </c>
      <c r="L457" t="str">
        <f>_xlfn.IFNA(VLOOKUP(C457,merchants!$A$2:$D$41,4,FALSE),"Merchant not found")</f>
        <v>West</v>
      </c>
      <c r="M457" s="2">
        <f>HLOOKUP(G457,Fees!$B$1:$E$2,2,FALSE)</f>
        <v>0.01</v>
      </c>
      <c r="N457" t="str">
        <f>IF(AND(K457&lt;&gt;"East",GETPIVOTDATA("amount_inr",'Daily Totals'!$A$4,"merchant_name",J457,"Days (transaction_time)",TEXT(D457,"dd-mmm"))&gt;5000),"High-Value Merchant Day", "Normal")</f>
        <v>Normal</v>
      </c>
    </row>
    <row r="458" spans="1:14" x14ac:dyDescent="0.3">
      <c r="A458" t="s">
        <v>471</v>
      </c>
      <c r="B458">
        <v>173</v>
      </c>
      <c r="C458">
        <v>17</v>
      </c>
      <c r="D458" s="1">
        <v>46040.863194444442</v>
      </c>
      <c r="E458" s="8">
        <f t="shared" si="7"/>
        <v>46040</v>
      </c>
      <c r="F458">
        <v>99</v>
      </c>
      <c r="G458" t="s">
        <v>15</v>
      </c>
      <c r="H458" t="s">
        <v>10</v>
      </c>
      <c r="I458">
        <v>97</v>
      </c>
      <c r="J458" t="str">
        <f>_xlfn.IFNA(VLOOKUP(C458,merchants!$A$2:$D$41,2,FALSE),"Merchant not found")</f>
        <v>Merchant_017</v>
      </c>
      <c r="K458" t="str">
        <f>_xlfn.IFNA(VLOOKUP(C458,merchants!$A$2:$D$41,3,FALSE),"Merchant not found")</f>
        <v>grocery</v>
      </c>
      <c r="L458" t="str">
        <f>_xlfn.IFNA(VLOOKUP(C458,merchants!$A$2:$D$41,4,FALSE),"Merchant not found")</f>
        <v>North</v>
      </c>
      <c r="M458" s="2">
        <f>HLOOKUP(G458,Fees!$B$1:$E$2,2,FALSE)</f>
        <v>0.01</v>
      </c>
      <c r="N458" t="str">
        <f>IF(AND(K458&lt;&gt;"East",GETPIVOTDATA("amount_inr",'Daily Totals'!$A$4,"merchant_name",J458,"Days (transaction_time)",TEXT(D458,"dd-mmm"))&gt;5000),"High-Value Merchant Day", "Normal")</f>
        <v>Normal</v>
      </c>
    </row>
    <row r="459" spans="1:14" x14ac:dyDescent="0.3">
      <c r="A459" t="s">
        <v>472</v>
      </c>
      <c r="B459">
        <v>329</v>
      </c>
      <c r="C459">
        <v>32</v>
      </c>
      <c r="D459" s="1">
        <v>46049.656944444447</v>
      </c>
      <c r="E459" s="8">
        <f t="shared" si="7"/>
        <v>46049</v>
      </c>
      <c r="F459">
        <v>1499</v>
      </c>
      <c r="G459" t="s">
        <v>12</v>
      </c>
      <c r="H459" t="s">
        <v>10</v>
      </c>
      <c r="I459">
        <v>58</v>
      </c>
      <c r="J459" t="str">
        <f>_xlfn.IFNA(VLOOKUP(C459,merchants!$A$2:$D$41,2,FALSE),"Merchant not found")</f>
        <v>Merchant_032</v>
      </c>
      <c r="K459" t="str">
        <f>_xlfn.IFNA(VLOOKUP(C459,merchants!$A$2:$D$41,3,FALSE),"Merchant not found")</f>
        <v>food_delivery</v>
      </c>
      <c r="L459" t="str">
        <f>_xlfn.IFNA(VLOOKUP(C459,merchants!$A$2:$D$41,4,FALSE),"Merchant not found")</f>
        <v>West</v>
      </c>
      <c r="M459" s="2">
        <f>HLOOKUP(G459,Fees!$B$1:$E$2,2,FALSE)</f>
        <v>0</v>
      </c>
      <c r="N459" t="str">
        <f>IF(AND(K459&lt;&gt;"East",GETPIVOTDATA("amount_inr",'Daily Totals'!$A$4,"merchant_name",J459,"Days (transaction_time)",TEXT(D459,"dd-mmm"))&gt;5000),"High-Value Merchant Day", "Normal")</f>
        <v>Normal</v>
      </c>
    </row>
    <row r="460" spans="1:14" x14ac:dyDescent="0.3">
      <c r="A460" t="s">
        <v>473</v>
      </c>
      <c r="B460">
        <v>181</v>
      </c>
      <c r="C460">
        <v>11</v>
      </c>
      <c r="D460" s="1">
        <v>46028.993055555555</v>
      </c>
      <c r="E460" s="8">
        <f t="shared" si="7"/>
        <v>46028</v>
      </c>
      <c r="F460">
        <v>1499</v>
      </c>
      <c r="G460" t="s">
        <v>12</v>
      </c>
      <c r="H460" t="s">
        <v>10</v>
      </c>
      <c r="I460">
        <v>17</v>
      </c>
      <c r="J460" t="str">
        <f>_xlfn.IFNA(VLOOKUP(C460,merchants!$A$2:$D$41,2,FALSE),"Merchant not found")</f>
        <v>Merchant_011</v>
      </c>
      <c r="K460" t="str">
        <f>_xlfn.IFNA(VLOOKUP(C460,merchants!$A$2:$D$41,3,FALSE),"Merchant not found")</f>
        <v>ecommerce</v>
      </c>
      <c r="L460" t="str">
        <f>_xlfn.IFNA(VLOOKUP(C460,merchants!$A$2:$D$41,4,FALSE),"Merchant not found")</f>
        <v>North</v>
      </c>
      <c r="M460" s="2">
        <f>HLOOKUP(G460,Fees!$B$1:$E$2,2,FALSE)</f>
        <v>0</v>
      </c>
      <c r="N460" t="str">
        <f>IF(AND(K460&lt;&gt;"East",GETPIVOTDATA("amount_inr",'Daily Totals'!$A$4,"merchant_name",J460,"Days (transaction_time)",TEXT(D460,"dd-mmm"))&gt;5000),"High-Value Merchant Day", "Normal")</f>
        <v>Normal</v>
      </c>
    </row>
    <row r="461" spans="1:14" x14ac:dyDescent="0.3">
      <c r="A461" t="s">
        <v>474</v>
      </c>
      <c r="B461">
        <v>95</v>
      </c>
      <c r="C461">
        <v>35</v>
      </c>
      <c r="D461" s="1">
        <v>46046.729861111111</v>
      </c>
      <c r="E461" s="8">
        <f t="shared" si="7"/>
        <v>46046</v>
      </c>
      <c r="F461">
        <v>149</v>
      </c>
      <c r="G461" t="s">
        <v>9</v>
      </c>
      <c r="H461" t="s">
        <v>10</v>
      </c>
      <c r="I461">
        <v>82</v>
      </c>
      <c r="J461" t="str">
        <f>_xlfn.IFNA(VLOOKUP(C461,merchants!$A$2:$D$41,2,FALSE),"Merchant not found")</f>
        <v>Merchant_035</v>
      </c>
      <c r="K461" t="str">
        <f>_xlfn.IFNA(VLOOKUP(C461,merchants!$A$2:$D$41,3,FALSE),"Merchant not found")</f>
        <v>recharge</v>
      </c>
      <c r="L461" t="str">
        <f>_xlfn.IFNA(VLOOKUP(C461,merchants!$A$2:$D$41,4,FALSE),"Merchant not found")</f>
        <v>East</v>
      </c>
      <c r="M461" s="2">
        <f>HLOOKUP(G461,Fees!$B$1:$E$2,2,FALSE)</f>
        <v>1.4999999999999999E-2</v>
      </c>
      <c r="N461" t="str">
        <f>IF(AND(K461&lt;&gt;"East",GETPIVOTDATA("amount_inr",'Daily Totals'!$A$4,"merchant_name",J461,"Days (transaction_time)",TEXT(D461,"dd-mmm"))&gt;5000),"High-Value Merchant Day", "Normal")</f>
        <v>Normal</v>
      </c>
    </row>
    <row r="462" spans="1:14" x14ac:dyDescent="0.3">
      <c r="A462" t="s">
        <v>475</v>
      </c>
      <c r="B462">
        <v>39</v>
      </c>
      <c r="C462">
        <v>4</v>
      </c>
      <c r="D462" s="1">
        <v>46024.668055555558</v>
      </c>
      <c r="E462" s="8">
        <f t="shared" si="7"/>
        <v>46024</v>
      </c>
      <c r="F462">
        <v>149</v>
      </c>
      <c r="G462" t="s">
        <v>15</v>
      </c>
      <c r="H462" t="s">
        <v>10</v>
      </c>
      <c r="I462">
        <v>97</v>
      </c>
      <c r="J462" t="str">
        <f>_xlfn.IFNA(VLOOKUP(C462,merchants!$A$2:$D$41,2,FALSE),"Merchant not found")</f>
        <v>Merchant_004</v>
      </c>
      <c r="K462" t="str">
        <f>_xlfn.IFNA(VLOOKUP(C462,merchants!$A$2:$D$41,3,FALSE),"Merchant not found")</f>
        <v>ecommerce</v>
      </c>
      <c r="L462" t="str">
        <f>_xlfn.IFNA(VLOOKUP(C462,merchants!$A$2:$D$41,4,FALSE),"Merchant not found")</f>
        <v>East</v>
      </c>
      <c r="M462" s="2">
        <f>HLOOKUP(G462,Fees!$B$1:$E$2,2,FALSE)</f>
        <v>0.01</v>
      </c>
      <c r="N462" t="str">
        <f>IF(AND(K462&lt;&gt;"East",GETPIVOTDATA("amount_inr",'Daily Totals'!$A$4,"merchant_name",J462,"Days (transaction_time)",TEXT(D462,"dd-mmm"))&gt;5000),"High-Value Merchant Day", "Normal")</f>
        <v>Normal</v>
      </c>
    </row>
    <row r="463" spans="1:14" x14ac:dyDescent="0.3">
      <c r="A463" t="s">
        <v>476</v>
      </c>
      <c r="B463">
        <v>323</v>
      </c>
      <c r="C463">
        <v>15</v>
      </c>
      <c r="D463" s="1">
        <v>46023.547222222223</v>
      </c>
      <c r="E463" s="8">
        <f t="shared" si="7"/>
        <v>46023</v>
      </c>
      <c r="F463">
        <v>499</v>
      </c>
      <c r="G463" t="s">
        <v>12</v>
      </c>
      <c r="H463" t="s">
        <v>10</v>
      </c>
      <c r="I463">
        <v>8</v>
      </c>
      <c r="J463" t="str">
        <f>_xlfn.IFNA(VLOOKUP(C463,merchants!$A$2:$D$41,2,FALSE),"Merchant not found")</f>
        <v>Merchant_015</v>
      </c>
      <c r="K463" t="str">
        <f>_xlfn.IFNA(VLOOKUP(C463,merchants!$A$2:$D$41,3,FALSE),"Merchant not found")</f>
        <v>travel</v>
      </c>
      <c r="L463" t="str">
        <f>_xlfn.IFNA(VLOOKUP(C463,merchants!$A$2:$D$41,4,FALSE),"Merchant not found")</f>
        <v>North</v>
      </c>
      <c r="M463" s="2">
        <f>HLOOKUP(G463,Fees!$B$1:$E$2,2,FALSE)</f>
        <v>0</v>
      </c>
      <c r="N463" t="str">
        <f>IF(AND(K463&lt;&gt;"East",GETPIVOTDATA("amount_inr",'Daily Totals'!$A$4,"merchant_name",J463,"Days (transaction_time)",TEXT(D463,"dd-mmm"))&gt;5000),"High-Value Merchant Day", "Normal")</f>
        <v>Normal</v>
      </c>
    </row>
    <row r="464" spans="1:14" x14ac:dyDescent="0.3">
      <c r="A464" t="s">
        <v>477</v>
      </c>
      <c r="B464">
        <v>112</v>
      </c>
      <c r="C464">
        <v>33</v>
      </c>
      <c r="D464" s="1">
        <v>46045.166666666664</v>
      </c>
      <c r="E464" s="8">
        <f t="shared" si="7"/>
        <v>46045</v>
      </c>
      <c r="F464">
        <v>49</v>
      </c>
      <c r="G464" t="s">
        <v>15</v>
      </c>
      <c r="H464" t="s">
        <v>10</v>
      </c>
      <c r="I464">
        <v>58</v>
      </c>
      <c r="J464" t="str">
        <f>_xlfn.IFNA(VLOOKUP(C464,merchants!$A$2:$D$41,2,FALSE),"Merchant not found")</f>
        <v>Merchant_033</v>
      </c>
      <c r="K464" t="str">
        <f>_xlfn.IFNA(VLOOKUP(C464,merchants!$A$2:$D$41,3,FALSE),"Merchant not found")</f>
        <v>bill_payment</v>
      </c>
      <c r="L464" t="str">
        <f>_xlfn.IFNA(VLOOKUP(C464,merchants!$A$2:$D$41,4,FALSE),"Merchant not found")</f>
        <v>East</v>
      </c>
      <c r="M464" s="2">
        <f>HLOOKUP(G464,Fees!$B$1:$E$2,2,FALSE)</f>
        <v>0.01</v>
      </c>
      <c r="N464" t="str">
        <f>IF(AND(K464&lt;&gt;"East",GETPIVOTDATA("amount_inr",'Daily Totals'!$A$4,"merchant_name",J464,"Days (transaction_time)",TEXT(D464,"dd-mmm"))&gt;5000),"High-Value Merchant Day", "Normal")</f>
        <v>Normal</v>
      </c>
    </row>
    <row r="465" spans="1:14" x14ac:dyDescent="0.3">
      <c r="A465" t="s">
        <v>478</v>
      </c>
      <c r="B465">
        <v>327</v>
      </c>
      <c r="C465">
        <v>40</v>
      </c>
      <c r="D465" s="1">
        <v>46034.068749999999</v>
      </c>
      <c r="E465" s="8">
        <f t="shared" si="7"/>
        <v>46034</v>
      </c>
      <c r="F465">
        <v>99</v>
      </c>
      <c r="G465" t="s">
        <v>12</v>
      </c>
      <c r="H465" t="s">
        <v>10</v>
      </c>
      <c r="I465">
        <v>61</v>
      </c>
      <c r="J465" t="str">
        <f>_xlfn.IFNA(VLOOKUP(C465,merchants!$A$2:$D$41,2,FALSE),"Merchant not found")</f>
        <v>Merchant_040</v>
      </c>
      <c r="K465" t="str">
        <f>_xlfn.IFNA(VLOOKUP(C465,merchants!$A$2:$D$41,3,FALSE),"Merchant not found")</f>
        <v>entertainment</v>
      </c>
      <c r="L465" t="str">
        <f>_xlfn.IFNA(VLOOKUP(C465,merchants!$A$2:$D$41,4,FALSE),"Merchant not found")</f>
        <v>South</v>
      </c>
      <c r="M465" s="2">
        <f>HLOOKUP(G465,Fees!$B$1:$E$2,2,FALSE)</f>
        <v>0</v>
      </c>
      <c r="N465" t="str">
        <f>IF(AND(K465&lt;&gt;"East",GETPIVOTDATA("amount_inr",'Daily Totals'!$A$4,"merchant_name",J465,"Days (transaction_time)",TEXT(D465,"dd-mmm"))&gt;5000),"High-Value Merchant Day", "Normal")</f>
        <v>Normal</v>
      </c>
    </row>
    <row r="466" spans="1:14" x14ac:dyDescent="0.3">
      <c r="A466" t="s">
        <v>479</v>
      </c>
      <c r="B466">
        <v>4</v>
      </c>
      <c r="C466">
        <v>35</v>
      </c>
      <c r="D466" s="1">
        <v>46044.625694444447</v>
      </c>
      <c r="E466" s="8">
        <f t="shared" si="7"/>
        <v>46044</v>
      </c>
      <c r="F466">
        <v>299</v>
      </c>
      <c r="G466" t="s">
        <v>12</v>
      </c>
      <c r="H466" t="s">
        <v>10</v>
      </c>
      <c r="I466">
        <v>70</v>
      </c>
      <c r="J466" t="str">
        <f>_xlfn.IFNA(VLOOKUP(C466,merchants!$A$2:$D$41,2,FALSE),"Merchant not found")</f>
        <v>Merchant_035</v>
      </c>
      <c r="K466" t="str">
        <f>_xlfn.IFNA(VLOOKUP(C466,merchants!$A$2:$D$41,3,FALSE),"Merchant not found")</f>
        <v>recharge</v>
      </c>
      <c r="L466" t="str">
        <f>_xlfn.IFNA(VLOOKUP(C466,merchants!$A$2:$D$41,4,FALSE),"Merchant not found")</f>
        <v>East</v>
      </c>
      <c r="M466" s="2">
        <f>HLOOKUP(G466,Fees!$B$1:$E$2,2,FALSE)</f>
        <v>0</v>
      </c>
      <c r="N466" t="str">
        <f>IF(AND(K466&lt;&gt;"East",GETPIVOTDATA("amount_inr",'Daily Totals'!$A$4,"merchant_name",J466,"Days (transaction_time)",TEXT(D466,"dd-mmm"))&gt;5000),"High-Value Merchant Day", "Normal")</f>
        <v>Normal</v>
      </c>
    </row>
    <row r="467" spans="1:14" x14ac:dyDescent="0.3">
      <c r="A467" t="s">
        <v>480</v>
      </c>
      <c r="B467">
        <v>272</v>
      </c>
      <c r="C467">
        <v>18</v>
      </c>
      <c r="D467" s="1">
        <v>46036.000694444447</v>
      </c>
      <c r="E467" s="8">
        <f t="shared" si="7"/>
        <v>46036</v>
      </c>
      <c r="F467">
        <v>149</v>
      </c>
      <c r="G467" t="s">
        <v>12</v>
      </c>
      <c r="H467" t="s">
        <v>10</v>
      </c>
      <c r="I467">
        <v>68</v>
      </c>
      <c r="J467" t="str">
        <f>_xlfn.IFNA(VLOOKUP(C467,merchants!$A$2:$D$41,2,FALSE),"Merchant not found")</f>
        <v>Merchant_018</v>
      </c>
      <c r="K467" t="str">
        <f>_xlfn.IFNA(VLOOKUP(C467,merchants!$A$2:$D$41,3,FALSE),"Merchant not found")</f>
        <v>grocery</v>
      </c>
      <c r="L467" t="str">
        <f>_xlfn.IFNA(VLOOKUP(C467,merchants!$A$2:$D$41,4,FALSE),"Merchant not found")</f>
        <v>West</v>
      </c>
      <c r="M467" s="2">
        <f>HLOOKUP(G467,Fees!$B$1:$E$2,2,FALSE)</f>
        <v>0</v>
      </c>
      <c r="N467" t="str">
        <f>IF(AND(K467&lt;&gt;"East",GETPIVOTDATA("amount_inr",'Daily Totals'!$A$4,"merchant_name",J467,"Days (transaction_time)",TEXT(D467,"dd-mmm"))&gt;5000),"High-Value Merchant Day", "Normal")</f>
        <v>Normal</v>
      </c>
    </row>
    <row r="468" spans="1:14" x14ac:dyDescent="0.3">
      <c r="A468" t="s">
        <v>481</v>
      </c>
      <c r="B468">
        <v>346</v>
      </c>
      <c r="C468">
        <v>28</v>
      </c>
      <c r="D468" s="1">
        <v>46032.022222222222</v>
      </c>
      <c r="E468" s="8">
        <f t="shared" si="7"/>
        <v>46032</v>
      </c>
      <c r="F468">
        <v>499</v>
      </c>
      <c r="G468" t="s">
        <v>12</v>
      </c>
      <c r="H468" t="s">
        <v>10</v>
      </c>
      <c r="I468">
        <v>22</v>
      </c>
      <c r="J468" t="str">
        <f>_xlfn.IFNA(VLOOKUP(C468,merchants!$A$2:$D$41,2,FALSE),"Merchant not found")</f>
        <v>Merchant_028</v>
      </c>
      <c r="K468" t="str">
        <f>_xlfn.IFNA(VLOOKUP(C468,merchants!$A$2:$D$41,3,FALSE),"Merchant not found")</f>
        <v>ecommerce</v>
      </c>
      <c r="L468" t="str">
        <f>_xlfn.IFNA(VLOOKUP(C468,merchants!$A$2:$D$41,4,FALSE),"Merchant not found")</f>
        <v>South</v>
      </c>
      <c r="M468" s="2">
        <f>HLOOKUP(G468,Fees!$B$1:$E$2,2,FALSE)</f>
        <v>0</v>
      </c>
      <c r="N468" t="str">
        <f>IF(AND(K468&lt;&gt;"East",GETPIVOTDATA("amount_inr",'Daily Totals'!$A$4,"merchant_name",J468,"Days (transaction_time)",TEXT(D468,"dd-mmm"))&gt;5000),"High-Value Merchant Day", "Normal")</f>
        <v>Normal</v>
      </c>
    </row>
    <row r="469" spans="1:14" x14ac:dyDescent="0.3">
      <c r="A469" t="s">
        <v>482</v>
      </c>
      <c r="B469">
        <v>77</v>
      </c>
      <c r="C469">
        <v>16</v>
      </c>
      <c r="D469" s="1">
        <v>46026.147916666669</v>
      </c>
      <c r="E469" s="8">
        <f t="shared" si="7"/>
        <v>46026</v>
      </c>
      <c r="F469">
        <v>49</v>
      </c>
      <c r="G469" t="s">
        <v>9</v>
      </c>
      <c r="H469" t="s">
        <v>10</v>
      </c>
      <c r="I469">
        <v>24</v>
      </c>
      <c r="J469" t="str">
        <f>_xlfn.IFNA(VLOOKUP(C469,merchants!$A$2:$D$41,2,FALSE),"Merchant not found")</f>
        <v>Merchant_016</v>
      </c>
      <c r="K469" t="str">
        <f>_xlfn.IFNA(VLOOKUP(C469,merchants!$A$2:$D$41,3,FALSE),"Merchant not found")</f>
        <v>bill_payment</v>
      </c>
      <c r="L469" t="str">
        <f>_xlfn.IFNA(VLOOKUP(C469,merchants!$A$2:$D$41,4,FALSE),"Merchant not found")</f>
        <v>West</v>
      </c>
      <c r="M469" s="2">
        <f>HLOOKUP(G469,Fees!$B$1:$E$2,2,FALSE)</f>
        <v>1.4999999999999999E-2</v>
      </c>
      <c r="N469" t="str">
        <f>IF(AND(K469&lt;&gt;"East",GETPIVOTDATA("amount_inr",'Daily Totals'!$A$4,"merchant_name",J469,"Days (transaction_time)",TEXT(D469,"dd-mmm"))&gt;5000),"High-Value Merchant Day", "Normal")</f>
        <v>Normal</v>
      </c>
    </row>
    <row r="470" spans="1:14" x14ac:dyDescent="0.3">
      <c r="A470" t="s">
        <v>483</v>
      </c>
      <c r="B470">
        <v>182</v>
      </c>
      <c r="C470">
        <v>18</v>
      </c>
      <c r="D470" s="1">
        <v>46042.677777777775</v>
      </c>
      <c r="E470" s="8">
        <f t="shared" si="7"/>
        <v>46042</v>
      </c>
      <c r="F470">
        <v>149</v>
      </c>
      <c r="G470" t="s">
        <v>24</v>
      </c>
      <c r="H470" t="s">
        <v>10</v>
      </c>
      <c r="I470">
        <v>50</v>
      </c>
      <c r="J470" t="str">
        <f>_xlfn.IFNA(VLOOKUP(C470,merchants!$A$2:$D$41,2,FALSE),"Merchant not found")</f>
        <v>Merchant_018</v>
      </c>
      <c r="K470" t="str">
        <f>_xlfn.IFNA(VLOOKUP(C470,merchants!$A$2:$D$41,3,FALSE),"Merchant not found")</f>
        <v>grocery</v>
      </c>
      <c r="L470" t="str">
        <f>_xlfn.IFNA(VLOOKUP(C470,merchants!$A$2:$D$41,4,FALSE),"Merchant not found")</f>
        <v>West</v>
      </c>
      <c r="M470" s="2">
        <f>HLOOKUP(G470,Fees!$B$1:$E$2,2,FALSE)</f>
        <v>0.02</v>
      </c>
      <c r="N470" t="str">
        <f>IF(AND(K470&lt;&gt;"East",GETPIVOTDATA("amount_inr",'Daily Totals'!$A$4,"merchant_name",J470,"Days (transaction_time)",TEXT(D470,"dd-mmm"))&gt;5000),"High-Value Merchant Day", "Normal")</f>
        <v>Normal</v>
      </c>
    </row>
    <row r="471" spans="1:14" x14ac:dyDescent="0.3">
      <c r="A471" t="s">
        <v>484</v>
      </c>
      <c r="B471">
        <v>236</v>
      </c>
      <c r="C471">
        <v>37</v>
      </c>
      <c r="D471" s="1">
        <v>46025.475694444445</v>
      </c>
      <c r="E471" s="8">
        <f t="shared" si="7"/>
        <v>46025</v>
      </c>
      <c r="F471">
        <v>299</v>
      </c>
      <c r="G471" t="s">
        <v>24</v>
      </c>
      <c r="H471" t="s">
        <v>10</v>
      </c>
      <c r="I471">
        <v>31</v>
      </c>
      <c r="J471" t="str">
        <f>_xlfn.IFNA(VLOOKUP(C471,merchants!$A$2:$D$41,2,FALSE),"Merchant not found")</f>
        <v>Merchant_037</v>
      </c>
      <c r="K471" t="str">
        <f>_xlfn.IFNA(VLOOKUP(C471,merchants!$A$2:$D$41,3,FALSE),"Merchant not found")</f>
        <v>entertainment</v>
      </c>
      <c r="L471" t="str">
        <f>_xlfn.IFNA(VLOOKUP(C471,merchants!$A$2:$D$41,4,FALSE),"Merchant not found")</f>
        <v>South</v>
      </c>
      <c r="M471" s="2">
        <f>HLOOKUP(G471,Fees!$B$1:$E$2,2,FALSE)</f>
        <v>0.02</v>
      </c>
      <c r="N471" t="str">
        <f>IF(AND(K471&lt;&gt;"East",GETPIVOTDATA("amount_inr",'Daily Totals'!$A$4,"merchant_name",J471,"Days (transaction_time)",TEXT(D471,"dd-mmm"))&gt;5000),"High-Value Merchant Day", "Normal")</f>
        <v>Normal</v>
      </c>
    </row>
    <row r="472" spans="1:14" x14ac:dyDescent="0.3">
      <c r="A472" t="s">
        <v>485</v>
      </c>
      <c r="B472">
        <v>42</v>
      </c>
      <c r="C472">
        <v>3</v>
      </c>
      <c r="D472" s="1">
        <v>46045.304861111108</v>
      </c>
      <c r="E472" s="8">
        <f t="shared" si="7"/>
        <v>46045</v>
      </c>
      <c r="F472">
        <v>49</v>
      </c>
      <c r="G472" t="s">
        <v>12</v>
      </c>
      <c r="H472" t="s">
        <v>10</v>
      </c>
      <c r="I472">
        <v>11</v>
      </c>
      <c r="J472" t="str">
        <f>_xlfn.IFNA(VLOOKUP(C472,merchants!$A$2:$D$41,2,FALSE),"Merchant not found")</f>
        <v>Merchant_003</v>
      </c>
      <c r="K472" t="str">
        <f>_xlfn.IFNA(VLOOKUP(C472,merchants!$A$2:$D$41,3,FALSE),"Merchant not found")</f>
        <v>grocery</v>
      </c>
      <c r="L472" t="str">
        <f>_xlfn.IFNA(VLOOKUP(C472,merchants!$A$2:$D$41,4,FALSE),"Merchant not found")</f>
        <v>East</v>
      </c>
      <c r="M472" s="2">
        <f>HLOOKUP(G472,Fees!$B$1:$E$2,2,FALSE)</f>
        <v>0</v>
      </c>
      <c r="N472" t="str">
        <f>IF(AND(K472&lt;&gt;"East",GETPIVOTDATA("amount_inr",'Daily Totals'!$A$4,"merchant_name",J472,"Days (transaction_time)",TEXT(D472,"dd-mmm"))&gt;5000),"High-Value Merchant Day", "Normal")</f>
        <v>Normal</v>
      </c>
    </row>
    <row r="473" spans="1:14" x14ac:dyDescent="0.3">
      <c r="A473" t="s">
        <v>486</v>
      </c>
      <c r="B473">
        <v>283</v>
      </c>
      <c r="C473">
        <v>31</v>
      </c>
      <c r="D473" s="1">
        <v>46035.51666666667</v>
      </c>
      <c r="E473" s="8">
        <f t="shared" si="7"/>
        <v>46035</v>
      </c>
      <c r="F473">
        <v>299</v>
      </c>
      <c r="G473" t="s">
        <v>15</v>
      </c>
      <c r="H473" t="s">
        <v>10</v>
      </c>
      <c r="I473">
        <v>7</v>
      </c>
      <c r="J473" t="str">
        <f>_xlfn.IFNA(VLOOKUP(C473,merchants!$A$2:$D$41,2,FALSE),"Merchant not found")</f>
        <v>Merchant_031</v>
      </c>
      <c r="K473" t="str">
        <f>_xlfn.IFNA(VLOOKUP(C473,merchants!$A$2:$D$41,3,FALSE),"Merchant not found")</f>
        <v>bill_payment</v>
      </c>
      <c r="L473" t="str">
        <f>_xlfn.IFNA(VLOOKUP(C473,merchants!$A$2:$D$41,4,FALSE),"Merchant not found")</f>
        <v>East</v>
      </c>
      <c r="M473" s="2">
        <f>HLOOKUP(G473,Fees!$B$1:$E$2,2,FALSE)</f>
        <v>0.01</v>
      </c>
      <c r="N473" t="str">
        <f>IF(AND(K473&lt;&gt;"East",GETPIVOTDATA("amount_inr",'Daily Totals'!$A$4,"merchant_name",J473,"Days (transaction_time)",TEXT(D473,"dd-mmm"))&gt;5000),"High-Value Merchant Day", "Normal")</f>
        <v>Normal</v>
      </c>
    </row>
    <row r="474" spans="1:14" x14ac:dyDescent="0.3">
      <c r="A474" t="s">
        <v>487</v>
      </c>
      <c r="B474">
        <v>88</v>
      </c>
      <c r="C474">
        <v>6</v>
      </c>
      <c r="D474" s="1">
        <v>46043.030555555553</v>
      </c>
      <c r="E474" s="8">
        <f t="shared" si="7"/>
        <v>46043</v>
      </c>
      <c r="F474">
        <v>49</v>
      </c>
      <c r="G474" t="s">
        <v>12</v>
      </c>
      <c r="H474" t="s">
        <v>10</v>
      </c>
      <c r="I474">
        <v>63</v>
      </c>
      <c r="J474" t="str">
        <f>_xlfn.IFNA(VLOOKUP(C474,merchants!$A$2:$D$41,2,FALSE),"Merchant not found")</f>
        <v>Merchant_006</v>
      </c>
      <c r="K474" t="str">
        <f>_xlfn.IFNA(VLOOKUP(C474,merchants!$A$2:$D$41,3,FALSE),"Merchant not found")</f>
        <v>food_delivery</v>
      </c>
      <c r="L474" t="str">
        <f>_xlfn.IFNA(VLOOKUP(C474,merchants!$A$2:$D$41,4,FALSE),"Merchant not found")</f>
        <v>South</v>
      </c>
      <c r="M474" s="2">
        <f>HLOOKUP(G474,Fees!$B$1:$E$2,2,FALSE)</f>
        <v>0</v>
      </c>
      <c r="N474" t="str">
        <f>IF(AND(K474&lt;&gt;"East",GETPIVOTDATA("amount_inr",'Daily Totals'!$A$4,"merchant_name",J474,"Days (transaction_time)",TEXT(D474,"dd-mmm"))&gt;5000),"High-Value Merchant Day", "Normal")</f>
        <v>Normal</v>
      </c>
    </row>
    <row r="475" spans="1:14" x14ac:dyDescent="0.3">
      <c r="A475" t="s">
        <v>488</v>
      </c>
      <c r="B475">
        <v>170</v>
      </c>
      <c r="C475">
        <v>37</v>
      </c>
      <c r="D475" s="1">
        <v>46050.570138888892</v>
      </c>
      <c r="E475" s="8">
        <f t="shared" si="7"/>
        <v>46050</v>
      </c>
      <c r="F475">
        <v>99</v>
      </c>
      <c r="G475" t="s">
        <v>12</v>
      </c>
      <c r="H475" t="s">
        <v>25</v>
      </c>
      <c r="I475">
        <v>12</v>
      </c>
      <c r="J475" t="str">
        <f>_xlfn.IFNA(VLOOKUP(C475,merchants!$A$2:$D$41,2,FALSE),"Merchant not found")</f>
        <v>Merchant_037</v>
      </c>
      <c r="K475" t="str">
        <f>_xlfn.IFNA(VLOOKUP(C475,merchants!$A$2:$D$41,3,FALSE),"Merchant not found")</f>
        <v>entertainment</v>
      </c>
      <c r="L475" t="str">
        <f>_xlfn.IFNA(VLOOKUP(C475,merchants!$A$2:$D$41,4,FALSE),"Merchant not found")</f>
        <v>South</v>
      </c>
      <c r="M475" s="2">
        <f>HLOOKUP(G475,Fees!$B$1:$E$2,2,FALSE)</f>
        <v>0</v>
      </c>
      <c r="N475" t="str">
        <f>IF(AND(K475&lt;&gt;"East",GETPIVOTDATA("amount_inr",'Daily Totals'!$A$4,"merchant_name",J475,"Days (transaction_time)",TEXT(D475,"dd-mmm"))&gt;5000),"High-Value Merchant Day", "Normal")</f>
        <v>Normal</v>
      </c>
    </row>
    <row r="476" spans="1:14" x14ac:dyDescent="0.3">
      <c r="A476" t="s">
        <v>489</v>
      </c>
      <c r="B476">
        <v>22</v>
      </c>
      <c r="C476">
        <v>15</v>
      </c>
      <c r="D476" s="1">
        <v>46051.706944444442</v>
      </c>
      <c r="E476" s="8">
        <f t="shared" si="7"/>
        <v>46051</v>
      </c>
      <c r="F476">
        <v>49</v>
      </c>
      <c r="G476" t="s">
        <v>15</v>
      </c>
      <c r="H476" t="s">
        <v>10</v>
      </c>
      <c r="I476">
        <v>27</v>
      </c>
      <c r="J476" t="str">
        <f>_xlfn.IFNA(VLOOKUP(C476,merchants!$A$2:$D$41,2,FALSE),"Merchant not found")</f>
        <v>Merchant_015</v>
      </c>
      <c r="K476" t="str">
        <f>_xlfn.IFNA(VLOOKUP(C476,merchants!$A$2:$D$41,3,FALSE),"Merchant not found")</f>
        <v>travel</v>
      </c>
      <c r="L476" t="str">
        <f>_xlfn.IFNA(VLOOKUP(C476,merchants!$A$2:$D$41,4,FALSE),"Merchant not found")</f>
        <v>North</v>
      </c>
      <c r="M476" s="2">
        <f>HLOOKUP(G476,Fees!$B$1:$E$2,2,FALSE)</f>
        <v>0.01</v>
      </c>
      <c r="N476" t="str">
        <f>IF(AND(K476&lt;&gt;"East",GETPIVOTDATA("amount_inr",'Daily Totals'!$A$4,"merchant_name",J476,"Days (transaction_time)",TEXT(D476,"dd-mmm"))&gt;5000),"High-Value Merchant Day", "Normal")</f>
        <v>Normal</v>
      </c>
    </row>
    <row r="477" spans="1:14" x14ac:dyDescent="0.3">
      <c r="A477" t="s">
        <v>490</v>
      </c>
      <c r="B477">
        <v>291</v>
      </c>
      <c r="C477">
        <v>31</v>
      </c>
      <c r="D477" s="1">
        <v>46051.955555555556</v>
      </c>
      <c r="E477" s="8">
        <f t="shared" si="7"/>
        <v>46051</v>
      </c>
      <c r="F477">
        <v>49</v>
      </c>
      <c r="G477" t="s">
        <v>15</v>
      </c>
      <c r="H477" t="s">
        <v>25</v>
      </c>
      <c r="I477">
        <v>34</v>
      </c>
      <c r="J477" t="str">
        <f>_xlfn.IFNA(VLOOKUP(C477,merchants!$A$2:$D$41,2,FALSE),"Merchant not found")</f>
        <v>Merchant_031</v>
      </c>
      <c r="K477" t="str">
        <f>_xlfn.IFNA(VLOOKUP(C477,merchants!$A$2:$D$41,3,FALSE),"Merchant not found")</f>
        <v>bill_payment</v>
      </c>
      <c r="L477" t="str">
        <f>_xlfn.IFNA(VLOOKUP(C477,merchants!$A$2:$D$41,4,FALSE),"Merchant not found")</f>
        <v>East</v>
      </c>
      <c r="M477" s="2">
        <f>HLOOKUP(G477,Fees!$B$1:$E$2,2,FALSE)</f>
        <v>0.01</v>
      </c>
      <c r="N477" t="str">
        <f>IF(AND(K477&lt;&gt;"East",GETPIVOTDATA("amount_inr",'Daily Totals'!$A$4,"merchant_name",J477,"Days (transaction_time)",TEXT(D477,"dd-mmm"))&gt;5000),"High-Value Merchant Day", "Normal")</f>
        <v>Normal</v>
      </c>
    </row>
    <row r="478" spans="1:14" x14ac:dyDescent="0.3">
      <c r="A478" t="s">
        <v>491</v>
      </c>
      <c r="B478">
        <v>144</v>
      </c>
      <c r="C478">
        <v>35</v>
      </c>
      <c r="D478" s="1">
        <v>46024.113194444442</v>
      </c>
      <c r="E478" s="8">
        <f t="shared" si="7"/>
        <v>46024</v>
      </c>
      <c r="F478">
        <v>1499</v>
      </c>
      <c r="G478" t="s">
        <v>12</v>
      </c>
      <c r="H478" t="s">
        <v>10</v>
      </c>
      <c r="I478">
        <v>72</v>
      </c>
      <c r="J478" t="str">
        <f>_xlfn.IFNA(VLOOKUP(C478,merchants!$A$2:$D$41,2,FALSE),"Merchant not found")</f>
        <v>Merchant_035</v>
      </c>
      <c r="K478" t="str">
        <f>_xlfn.IFNA(VLOOKUP(C478,merchants!$A$2:$D$41,3,FALSE),"Merchant not found")</f>
        <v>recharge</v>
      </c>
      <c r="L478" t="str">
        <f>_xlfn.IFNA(VLOOKUP(C478,merchants!$A$2:$D$41,4,FALSE),"Merchant not found")</f>
        <v>East</v>
      </c>
      <c r="M478" s="2">
        <f>HLOOKUP(G478,Fees!$B$1:$E$2,2,FALSE)</f>
        <v>0</v>
      </c>
      <c r="N478" t="str">
        <f>IF(AND(K478&lt;&gt;"East",GETPIVOTDATA("amount_inr",'Daily Totals'!$A$4,"merchant_name",J478,"Days (transaction_time)",TEXT(D478,"dd-mmm"))&gt;5000),"High-Value Merchant Day", "Normal")</f>
        <v>Normal</v>
      </c>
    </row>
    <row r="479" spans="1:14" x14ac:dyDescent="0.3">
      <c r="A479" t="s">
        <v>492</v>
      </c>
      <c r="B479">
        <v>162</v>
      </c>
      <c r="C479">
        <v>2</v>
      </c>
      <c r="D479" s="1">
        <v>46044.049305555556</v>
      </c>
      <c r="E479" s="8">
        <f t="shared" si="7"/>
        <v>46044</v>
      </c>
      <c r="F479">
        <v>299</v>
      </c>
      <c r="G479" t="s">
        <v>9</v>
      </c>
      <c r="H479" t="s">
        <v>10</v>
      </c>
      <c r="I479">
        <v>26</v>
      </c>
      <c r="J479" t="str">
        <f>_xlfn.IFNA(VLOOKUP(C479,merchants!$A$2:$D$41,2,FALSE),"Merchant not found")</f>
        <v>Merchant_002</v>
      </c>
      <c r="K479" t="str">
        <f>_xlfn.IFNA(VLOOKUP(C479,merchants!$A$2:$D$41,3,FALSE),"Merchant not found")</f>
        <v>grocery</v>
      </c>
      <c r="L479" t="str">
        <f>_xlfn.IFNA(VLOOKUP(C479,merchants!$A$2:$D$41,4,FALSE),"Merchant not found")</f>
        <v>West</v>
      </c>
      <c r="M479" s="2">
        <f>HLOOKUP(G479,Fees!$B$1:$E$2,2,FALSE)</f>
        <v>1.4999999999999999E-2</v>
      </c>
      <c r="N479" t="str">
        <f>IF(AND(K479&lt;&gt;"East",GETPIVOTDATA("amount_inr",'Daily Totals'!$A$4,"merchant_name",J479,"Days (transaction_time)",TEXT(D479,"dd-mmm"))&gt;5000),"High-Value Merchant Day", "Normal")</f>
        <v>Normal</v>
      </c>
    </row>
    <row r="480" spans="1:14" x14ac:dyDescent="0.3">
      <c r="A480" t="s">
        <v>493</v>
      </c>
      <c r="B480">
        <v>204</v>
      </c>
      <c r="C480">
        <v>5</v>
      </c>
      <c r="D480" s="1">
        <v>46041.2</v>
      </c>
      <c r="E480" s="8">
        <f t="shared" si="7"/>
        <v>46041</v>
      </c>
      <c r="F480">
        <v>49</v>
      </c>
      <c r="G480" t="s">
        <v>12</v>
      </c>
      <c r="H480" t="s">
        <v>10</v>
      </c>
      <c r="I480">
        <v>38</v>
      </c>
      <c r="J480" t="str">
        <f>_xlfn.IFNA(VLOOKUP(C480,merchants!$A$2:$D$41,2,FALSE),"Merchant not found")</f>
        <v>Merchant_005</v>
      </c>
      <c r="K480" t="str">
        <f>_xlfn.IFNA(VLOOKUP(C480,merchants!$A$2:$D$41,3,FALSE),"Merchant not found")</f>
        <v>recharge</v>
      </c>
      <c r="L480" t="str">
        <f>_xlfn.IFNA(VLOOKUP(C480,merchants!$A$2:$D$41,4,FALSE),"Merchant not found")</f>
        <v>South</v>
      </c>
      <c r="M480" s="2">
        <f>HLOOKUP(G480,Fees!$B$1:$E$2,2,FALSE)</f>
        <v>0</v>
      </c>
      <c r="N480" t="str">
        <f>IF(AND(K480&lt;&gt;"East",GETPIVOTDATA("amount_inr",'Daily Totals'!$A$4,"merchant_name",J480,"Days (transaction_time)",TEXT(D480,"dd-mmm"))&gt;5000),"High-Value Merchant Day", "Normal")</f>
        <v>Normal</v>
      </c>
    </row>
    <row r="481" spans="1:14" x14ac:dyDescent="0.3">
      <c r="A481" t="s">
        <v>494</v>
      </c>
      <c r="B481">
        <v>291</v>
      </c>
      <c r="C481">
        <v>25</v>
      </c>
      <c r="D481" s="1">
        <v>46028.760416666664</v>
      </c>
      <c r="E481" s="8">
        <f t="shared" si="7"/>
        <v>46028</v>
      </c>
      <c r="F481">
        <v>99</v>
      </c>
      <c r="G481" t="s">
        <v>9</v>
      </c>
      <c r="H481" t="s">
        <v>10</v>
      </c>
      <c r="I481">
        <v>86</v>
      </c>
      <c r="J481" t="str">
        <f>_xlfn.IFNA(VLOOKUP(C481,merchants!$A$2:$D$41,2,FALSE),"Merchant not found")</f>
        <v>Merchant_025</v>
      </c>
      <c r="K481" t="str">
        <f>_xlfn.IFNA(VLOOKUP(C481,merchants!$A$2:$D$41,3,FALSE),"Merchant not found")</f>
        <v>travel</v>
      </c>
      <c r="L481" t="str">
        <f>_xlfn.IFNA(VLOOKUP(C481,merchants!$A$2:$D$41,4,FALSE),"Merchant not found")</f>
        <v>South</v>
      </c>
      <c r="M481" s="2">
        <f>HLOOKUP(G481,Fees!$B$1:$E$2,2,FALSE)</f>
        <v>1.4999999999999999E-2</v>
      </c>
      <c r="N481" t="str">
        <f>IF(AND(K481&lt;&gt;"East",GETPIVOTDATA("amount_inr",'Daily Totals'!$A$4,"merchant_name",J481,"Days (transaction_time)",TEXT(D481,"dd-mmm"))&gt;5000),"High-Value Merchant Day", "Normal")</f>
        <v>Normal</v>
      </c>
    </row>
    <row r="482" spans="1:14" x14ac:dyDescent="0.3">
      <c r="A482" t="s">
        <v>495</v>
      </c>
      <c r="B482">
        <v>197</v>
      </c>
      <c r="C482">
        <v>9</v>
      </c>
      <c r="D482" s="1">
        <v>46051.722916666666</v>
      </c>
      <c r="E482" s="8">
        <f t="shared" si="7"/>
        <v>46051</v>
      </c>
      <c r="F482">
        <v>49</v>
      </c>
      <c r="G482" t="s">
        <v>9</v>
      </c>
      <c r="H482" t="s">
        <v>25</v>
      </c>
      <c r="I482">
        <v>88</v>
      </c>
      <c r="J482" t="str">
        <f>_xlfn.IFNA(VLOOKUP(C482,merchants!$A$2:$D$41,2,FALSE),"Merchant not found")</f>
        <v>Merchant_009</v>
      </c>
      <c r="K482" t="str">
        <f>_xlfn.IFNA(VLOOKUP(C482,merchants!$A$2:$D$41,3,FALSE),"Merchant not found")</f>
        <v>ecommerce</v>
      </c>
      <c r="L482" t="str">
        <f>_xlfn.IFNA(VLOOKUP(C482,merchants!$A$2:$D$41,4,FALSE),"Merchant not found")</f>
        <v>North</v>
      </c>
      <c r="M482" s="2">
        <f>HLOOKUP(G482,Fees!$B$1:$E$2,2,FALSE)</f>
        <v>1.4999999999999999E-2</v>
      </c>
      <c r="N482" t="str">
        <f>IF(AND(K482&lt;&gt;"East",GETPIVOTDATA("amount_inr",'Daily Totals'!$A$4,"merchant_name",J482,"Days (transaction_time)",TEXT(D482,"dd-mmm"))&gt;5000),"High-Value Merchant Day", "Normal")</f>
        <v>Normal</v>
      </c>
    </row>
    <row r="483" spans="1:14" x14ac:dyDescent="0.3">
      <c r="A483" t="s">
        <v>496</v>
      </c>
      <c r="B483">
        <v>178</v>
      </c>
      <c r="C483">
        <v>4</v>
      </c>
      <c r="D483" s="1">
        <v>46046.105555555558</v>
      </c>
      <c r="E483" s="8">
        <f t="shared" si="7"/>
        <v>46046</v>
      </c>
      <c r="F483">
        <v>1499</v>
      </c>
      <c r="G483" t="s">
        <v>12</v>
      </c>
      <c r="H483" t="s">
        <v>10</v>
      </c>
      <c r="I483">
        <v>12</v>
      </c>
      <c r="J483" t="str">
        <f>_xlfn.IFNA(VLOOKUP(C483,merchants!$A$2:$D$41,2,FALSE),"Merchant not found")</f>
        <v>Merchant_004</v>
      </c>
      <c r="K483" t="str">
        <f>_xlfn.IFNA(VLOOKUP(C483,merchants!$A$2:$D$41,3,FALSE),"Merchant not found")</f>
        <v>ecommerce</v>
      </c>
      <c r="L483" t="str">
        <f>_xlfn.IFNA(VLOOKUP(C483,merchants!$A$2:$D$41,4,FALSE),"Merchant not found")</f>
        <v>East</v>
      </c>
      <c r="M483" s="2">
        <f>HLOOKUP(G483,Fees!$B$1:$E$2,2,FALSE)</f>
        <v>0</v>
      </c>
      <c r="N483" t="str">
        <f>IF(AND(K483&lt;&gt;"East",GETPIVOTDATA("amount_inr",'Daily Totals'!$A$4,"merchant_name",J483,"Days (transaction_time)",TEXT(D483,"dd-mmm"))&gt;5000),"High-Value Merchant Day", "Normal")</f>
        <v>Normal</v>
      </c>
    </row>
    <row r="484" spans="1:14" x14ac:dyDescent="0.3">
      <c r="A484" t="s">
        <v>497</v>
      </c>
      <c r="B484">
        <v>39</v>
      </c>
      <c r="C484">
        <v>22</v>
      </c>
      <c r="D484" s="1">
        <v>46036.328472222223</v>
      </c>
      <c r="E484" s="8">
        <f t="shared" si="7"/>
        <v>46036</v>
      </c>
      <c r="F484">
        <v>799</v>
      </c>
      <c r="G484" t="s">
        <v>15</v>
      </c>
      <c r="H484" t="s">
        <v>10</v>
      </c>
      <c r="I484">
        <v>77</v>
      </c>
      <c r="J484" t="str">
        <f>_xlfn.IFNA(VLOOKUP(C484,merchants!$A$2:$D$41,2,FALSE),"Merchant not found")</f>
        <v>Merchant_022</v>
      </c>
      <c r="K484" t="str">
        <f>_xlfn.IFNA(VLOOKUP(C484,merchants!$A$2:$D$41,3,FALSE),"Merchant not found")</f>
        <v>travel</v>
      </c>
      <c r="L484" t="str">
        <f>_xlfn.IFNA(VLOOKUP(C484,merchants!$A$2:$D$41,4,FALSE),"Merchant not found")</f>
        <v>South</v>
      </c>
      <c r="M484" s="2">
        <f>HLOOKUP(G484,Fees!$B$1:$E$2,2,FALSE)</f>
        <v>0.01</v>
      </c>
      <c r="N484" t="str">
        <f>IF(AND(K484&lt;&gt;"East",GETPIVOTDATA("amount_inr",'Daily Totals'!$A$4,"merchant_name",J484,"Days (transaction_time)",TEXT(D484,"dd-mmm"))&gt;5000),"High-Value Merchant Day", "Normal")</f>
        <v>Normal</v>
      </c>
    </row>
    <row r="485" spans="1:14" x14ac:dyDescent="0.3">
      <c r="A485" t="s">
        <v>498</v>
      </c>
      <c r="B485">
        <v>204</v>
      </c>
      <c r="C485">
        <v>21</v>
      </c>
      <c r="D485" s="1">
        <v>46047.818055555559</v>
      </c>
      <c r="E485" s="8">
        <f t="shared" si="7"/>
        <v>46047</v>
      </c>
      <c r="F485">
        <v>299</v>
      </c>
      <c r="G485" t="s">
        <v>9</v>
      </c>
      <c r="H485" t="s">
        <v>10</v>
      </c>
      <c r="I485">
        <v>3</v>
      </c>
      <c r="J485" t="str">
        <f>_xlfn.IFNA(VLOOKUP(C485,merchants!$A$2:$D$41,2,FALSE),"Merchant not found")</f>
        <v>Merchant_021</v>
      </c>
      <c r="K485" t="str">
        <f>_xlfn.IFNA(VLOOKUP(C485,merchants!$A$2:$D$41,3,FALSE),"Merchant not found")</f>
        <v>food_delivery</v>
      </c>
      <c r="L485" t="str">
        <f>_xlfn.IFNA(VLOOKUP(C485,merchants!$A$2:$D$41,4,FALSE),"Merchant not found")</f>
        <v>East</v>
      </c>
      <c r="M485" s="2">
        <f>HLOOKUP(G485,Fees!$B$1:$E$2,2,FALSE)</f>
        <v>1.4999999999999999E-2</v>
      </c>
      <c r="N485" t="str">
        <f>IF(AND(K485&lt;&gt;"East",GETPIVOTDATA("amount_inr",'Daily Totals'!$A$4,"merchant_name",J485,"Days (transaction_time)",TEXT(D485,"dd-mmm"))&gt;5000),"High-Value Merchant Day", "Normal")</f>
        <v>Normal</v>
      </c>
    </row>
    <row r="486" spans="1:14" x14ac:dyDescent="0.3">
      <c r="A486" t="s">
        <v>499</v>
      </c>
      <c r="B486">
        <v>231</v>
      </c>
      <c r="C486">
        <v>32</v>
      </c>
      <c r="D486" s="1">
        <v>46043.368055555555</v>
      </c>
      <c r="E486" s="8">
        <f t="shared" si="7"/>
        <v>46043</v>
      </c>
      <c r="F486">
        <v>299</v>
      </c>
      <c r="G486" t="s">
        <v>12</v>
      </c>
      <c r="H486" t="s">
        <v>10</v>
      </c>
      <c r="I486">
        <v>29</v>
      </c>
      <c r="J486" t="str">
        <f>_xlfn.IFNA(VLOOKUP(C486,merchants!$A$2:$D$41,2,FALSE),"Merchant not found")</f>
        <v>Merchant_032</v>
      </c>
      <c r="K486" t="str">
        <f>_xlfn.IFNA(VLOOKUP(C486,merchants!$A$2:$D$41,3,FALSE),"Merchant not found")</f>
        <v>food_delivery</v>
      </c>
      <c r="L486" t="str">
        <f>_xlfn.IFNA(VLOOKUP(C486,merchants!$A$2:$D$41,4,FALSE),"Merchant not found")</f>
        <v>West</v>
      </c>
      <c r="M486" s="2">
        <f>HLOOKUP(G486,Fees!$B$1:$E$2,2,FALSE)</f>
        <v>0</v>
      </c>
      <c r="N486" t="str">
        <f>IF(AND(K486&lt;&gt;"East",GETPIVOTDATA("amount_inr",'Daily Totals'!$A$4,"merchant_name",J486,"Days (transaction_time)",TEXT(D486,"dd-mmm"))&gt;5000),"High-Value Merchant Day", "Normal")</f>
        <v>Normal</v>
      </c>
    </row>
    <row r="487" spans="1:14" x14ac:dyDescent="0.3">
      <c r="A487" t="s">
        <v>500</v>
      </c>
      <c r="B487">
        <v>222</v>
      </c>
      <c r="C487">
        <v>12</v>
      </c>
      <c r="D487" s="1">
        <v>46034.724999999999</v>
      </c>
      <c r="E487" s="8">
        <f t="shared" si="7"/>
        <v>46034</v>
      </c>
      <c r="F487">
        <v>499</v>
      </c>
      <c r="G487" t="s">
        <v>9</v>
      </c>
      <c r="H487" t="s">
        <v>25</v>
      </c>
      <c r="I487">
        <v>87</v>
      </c>
      <c r="J487" t="str">
        <f>_xlfn.IFNA(VLOOKUP(C487,merchants!$A$2:$D$41,2,FALSE),"Merchant not found")</f>
        <v>Merchant_012</v>
      </c>
      <c r="K487" t="str">
        <f>_xlfn.IFNA(VLOOKUP(C487,merchants!$A$2:$D$41,3,FALSE),"Merchant not found")</f>
        <v>ecommerce</v>
      </c>
      <c r="L487" t="str">
        <f>_xlfn.IFNA(VLOOKUP(C487,merchants!$A$2:$D$41,4,FALSE),"Merchant not found")</f>
        <v>East</v>
      </c>
      <c r="M487" s="2">
        <f>HLOOKUP(G487,Fees!$B$1:$E$2,2,FALSE)</f>
        <v>1.4999999999999999E-2</v>
      </c>
      <c r="N487" t="str">
        <f>IF(AND(K487&lt;&gt;"East",GETPIVOTDATA("amount_inr",'Daily Totals'!$A$4,"merchant_name",J487,"Days (transaction_time)",TEXT(D487,"dd-mmm"))&gt;5000),"High-Value Merchant Day", "Normal")</f>
        <v>Normal</v>
      </c>
    </row>
    <row r="488" spans="1:14" x14ac:dyDescent="0.3">
      <c r="A488" t="s">
        <v>501</v>
      </c>
      <c r="B488">
        <v>44</v>
      </c>
      <c r="C488">
        <v>40</v>
      </c>
      <c r="D488" s="1">
        <v>46041.89166666667</v>
      </c>
      <c r="E488" s="8">
        <f t="shared" si="7"/>
        <v>46041</v>
      </c>
      <c r="F488">
        <v>499</v>
      </c>
      <c r="G488" t="s">
        <v>12</v>
      </c>
      <c r="H488" t="s">
        <v>10</v>
      </c>
      <c r="I488">
        <v>37</v>
      </c>
      <c r="J488" t="str">
        <f>_xlfn.IFNA(VLOOKUP(C488,merchants!$A$2:$D$41,2,FALSE),"Merchant not found")</f>
        <v>Merchant_040</v>
      </c>
      <c r="K488" t="str">
        <f>_xlfn.IFNA(VLOOKUP(C488,merchants!$A$2:$D$41,3,FALSE),"Merchant not found")</f>
        <v>entertainment</v>
      </c>
      <c r="L488" t="str">
        <f>_xlfn.IFNA(VLOOKUP(C488,merchants!$A$2:$D$41,4,FALSE),"Merchant not found")</f>
        <v>South</v>
      </c>
      <c r="M488" s="2">
        <f>HLOOKUP(G488,Fees!$B$1:$E$2,2,FALSE)</f>
        <v>0</v>
      </c>
      <c r="N488" t="str">
        <f>IF(AND(K488&lt;&gt;"East",GETPIVOTDATA("amount_inr",'Daily Totals'!$A$4,"merchant_name",J488,"Days (transaction_time)",TEXT(D488,"dd-mmm"))&gt;5000),"High-Value Merchant Day", "Normal")</f>
        <v>Normal</v>
      </c>
    </row>
    <row r="489" spans="1:14" x14ac:dyDescent="0.3">
      <c r="A489" t="s">
        <v>502</v>
      </c>
      <c r="B489">
        <v>38</v>
      </c>
      <c r="C489">
        <v>6</v>
      </c>
      <c r="D489" s="1">
        <v>46048.322916666664</v>
      </c>
      <c r="E489" s="8">
        <f t="shared" si="7"/>
        <v>46048</v>
      </c>
      <c r="F489">
        <v>49</v>
      </c>
      <c r="G489" t="s">
        <v>9</v>
      </c>
      <c r="H489" t="s">
        <v>10</v>
      </c>
      <c r="I489">
        <v>34</v>
      </c>
      <c r="J489" t="str">
        <f>_xlfn.IFNA(VLOOKUP(C489,merchants!$A$2:$D$41,2,FALSE),"Merchant not found")</f>
        <v>Merchant_006</v>
      </c>
      <c r="K489" t="str">
        <f>_xlfn.IFNA(VLOOKUP(C489,merchants!$A$2:$D$41,3,FALSE),"Merchant not found")</f>
        <v>food_delivery</v>
      </c>
      <c r="L489" t="str">
        <f>_xlfn.IFNA(VLOOKUP(C489,merchants!$A$2:$D$41,4,FALSE),"Merchant not found")</f>
        <v>South</v>
      </c>
      <c r="M489" s="2">
        <f>HLOOKUP(G489,Fees!$B$1:$E$2,2,FALSE)</f>
        <v>1.4999999999999999E-2</v>
      </c>
      <c r="N489" t="str">
        <f>IF(AND(K489&lt;&gt;"East",GETPIVOTDATA("amount_inr",'Daily Totals'!$A$4,"merchant_name",J489,"Days (transaction_time)",TEXT(D489,"dd-mmm"))&gt;5000),"High-Value Merchant Day", "Normal")</f>
        <v>Normal</v>
      </c>
    </row>
    <row r="490" spans="1:14" x14ac:dyDescent="0.3">
      <c r="A490" t="s">
        <v>503</v>
      </c>
      <c r="B490">
        <v>325</v>
      </c>
      <c r="C490">
        <v>10</v>
      </c>
      <c r="D490" s="1">
        <v>46027.53125</v>
      </c>
      <c r="E490" s="8">
        <f t="shared" si="7"/>
        <v>46027</v>
      </c>
      <c r="F490">
        <v>49</v>
      </c>
      <c r="G490" t="s">
        <v>15</v>
      </c>
      <c r="H490" t="s">
        <v>38</v>
      </c>
      <c r="I490">
        <v>94</v>
      </c>
      <c r="J490" t="str">
        <f>_xlfn.IFNA(VLOOKUP(C490,merchants!$A$2:$D$41,2,FALSE),"Merchant not found")</f>
        <v>Merchant_010</v>
      </c>
      <c r="K490" t="str">
        <f>_xlfn.IFNA(VLOOKUP(C490,merchants!$A$2:$D$41,3,FALSE),"Merchant not found")</f>
        <v>grocery</v>
      </c>
      <c r="L490" t="str">
        <f>_xlfn.IFNA(VLOOKUP(C490,merchants!$A$2:$D$41,4,FALSE),"Merchant not found")</f>
        <v>West</v>
      </c>
      <c r="M490" s="2">
        <f>HLOOKUP(G490,Fees!$B$1:$E$2,2,FALSE)</f>
        <v>0.01</v>
      </c>
      <c r="N490" t="str">
        <f>IF(AND(K490&lt;&gt;"East",GETPIVOTDATA("amount_inr",'Daily Totals'!$A$4,"merchant_name",J490,"Days (transaction_time)",TEXT(D490,"dd-mmm"))&gt;5000),"High-Value Merchant Day", "Normal")</f>
        <v>Normal</v>
      </c>
    </row>
    <row r="491" spans="1:14" x14ac:dyDescent="0.3">
      <c r="A491" t="s">
        <v>504</v>
      </c>
      <c r="B491">
        <v>55</v>
      </c>
      <c r="C491">
        <v>6</v>
      </c>
      <c r="D491" s="1">
        <v>46035.432638888888</v>
      </c>
      <c r="E491" s="8">
        <f t="shared" si="7"/>
        <v>46035</v>
      </c>
      <c r="F491">
        <v>1499</v>
      </c>
      <c r="G491" t="s">
        <v>24</v>
      </c>
      <c r="H491" t="s">
        <v>10</v>
      </c>
      <c r="I491">
        <v>0</v>
      </c>
      <c r="J491" t="str">
        <f>_xlfn.IFNA(VLOOKUP(C491,merchants!$A$2:$D$41,2,FALSE),"Merchant not found")</f>
        <v>Merchant_006</v>
      </c>
      <c r="K491" t="str">
        <f>_xlfn.IFNA(VLOOKUP(C491,merchants!$A$2:$D$41,3,FALSE),"Merchant not found")</f>
        <v>food_delivery</v>
      </c>
      <c r="L491" t="str">
        <f>_xlfn.IFNA(VLOOKUP(C491,merchants!$A$2:$D$41,4,FALSE),"Merchant not found")</f>
        <v>South</v>
      </c>
      <c r="M491" s="2">
        <f>HLOOKUP(G491,Fees!$B$1:$E$2,2,FALSE)</f>
        <v>0.02</v>
      </c>
      <c r="N491" t="str">
        <f>IF(AND(K491&lt;&gt;"East",GETPIVOTDATA("amount_inr",'Daily Totals'!$A$4,"merchant_name",J491,"Days (transaction_time)",TEXT(D491,"dd-mmm"))&gt;5000),"High-Value Merchant Day", "Normal")</f>
        <v>Normal</v>
      </c>
    </row>
    <row r="492" spans="1:14" x14ac:dyDescent="0.3">
      <c r="A492" t="s">
        <v>505</v>
      </c>
      <c r="B492">
        <v>139</v>
      </c>
      <c r="C492">
        <v>7</v>
      </c>
      <c r="D492" s="1">
        <v>46032.599305555559</v>
      </c>
      <c r="E492" s="8">
        <f t="shared" si="7"/>
        <v>46032</v>
      </c>
      <c r="F492">
        <v>499</v>
      </c>
      <c r="G492" t="s">
        <v>24</v>
      </c>
      <c r="H492" t="s">
        <v>10</v>
      </c>
      <c r="I492">
        <v>16</v>
      </c>
      <c r="J492" t="str">
        <f>_xlfn.IFNA(VLOOKUP(C492,merchants!$A$2:$D$41,2,FALSE),"Merchant not found")</f>
        <v>Merchant_007</v>
      </c>
      <c r="K492" t="str">
        <f>_xlfn.IFNA(VLOOKUP(C492,merchants!$A$2:$D$41,3,FALSE),"Merchant not found")</f>
        <v>food_delivery</v>
      </c>
      <c r="L492" t="str">
        <f>_xlfn.IFNA(VLOOKUP(C492,merchants!$A$2:$D$41,4,FALSE),"Merchant not found")</f>
        <v>East</v>
      </c>
      <c r="M492" s="2">
        <f>HLOOKUP(G492,Fees!$B$1:$E$2,2,FALSE)</f>
        <v>0.02</v>
      </c>
      <c r="N492" t="str">
        <f>IF(AND(K492&lt;&gt;"East",GETPIVOTDATA("amount_inr",'Daily Totals'!$A$4,"merchant_name",J492,"Days (transaction_time)",TEXT(D492,"dd-mmm"))&gt;5000),"High-Value Merchant Day", "Normal")</f>
        <v>Normal</v>
      </c>
    </row>
    <row r="493" spans="1:14" x14ac:dyDescent="0.3">
      <c r="A493" t="s">
        <v>506</v>
      </c>
      <c r="B493">
        <v>230</v>
      </c>
      <c r="C493">
        <v>36</v>
      </c>
      <c r="D493" s="1">
        <v>46025.227083333331</v>
      </c>
      <c r="E493" s="8">
        <f t="shared" si="7"/>
        <v>46025</v>
      </c>
      <c r="F493">
        <v>99</v>
      </c>
      <c r="G493" t="s">
        <v>9</v>
      </c>
      <c r="H493" t="s">
        <v>10</v>
      </c>
      <c r="I493">
        <v>71</v>
      </c>
      <c r="J493" t="str">
        <f>_xlfn.IFNA(VLOOKUP(C493,merchants!$A$2:$D$41,2,FALSE),"Merchant not found")</f>
        <v>Merchant_036</v>
      </c>
      <c r="K493" t="str">
        <f>_xlfn.IFNA(VLOOKUP(C493,merchants!$A$2:$D$41,3,FALSE),"Merchant not found")</f>
        <v>entertainment</v>
      </c>
      <c r="L493" t="str">
        <f>_xlfn.IFNA(VLOOKUP(C493,merchants!$A$2:$D$41,4,FALSE),"Merchant not found")</f>
        <v>East</v>
      </c>
      <c r="M493" s="2">
        <f>HLOOKUP(G493,Fees!$B$1:$E$2,2,FALSE)</f>
        <v>1.4999999999999999E-2</v>
      </c>
      <c r="N493" t="str">
        <f>IF(AND(K493&lt;&gt;"East",GETPIVOTDATA("amount_inr",'Daily Totals'!$A$4,"merchant_name",J493,"Days (transaction_time)",TEXT(D493,"dd-mmm"))&gt;5000),"High-Value Merchant Day", "Normal")</f>
        <v>Normal</v>
      </c>
    </row>
    <row r="494" spans="1:14" x14ac:dyDescent="0.3">
      <c r="A494" t="s">
        <v>507</v>
      </c>
      <c r="B494">
        <v>14</v>
      </c>
      <c r="C494">
        <v>6</v>
      </c>
      <c r="D494" s="1">
        <v>46039.54583333333</v>
      </c>
      <c r="E494" s="8">
        <f t="shared" si="7"/>
        <v>46039</v>
      </c>
      <c r="F494">
        <v>799</v>
      </c>
      <c r="G494" t="s">
        <v>24</v>
      </c>
      <c r="H494" t="s">
        <v>10</v>
      </c>
      <c r="I494">
        <v>45</v>
      </c>
      <c r="J494" t="str">
        <f>_xlfn.IFNA(VLOOKUP(C494,merchants!$A$2:$D$41,2,FALSE),"Merchant not found")</f>
        <v>Merchant_006</v>
      </c>
      <c r="K494" t="str">
        <f>_xlfn.IFNA(VLOOKUP(C494,merchants!$A$2:$D$41,3,FALSE),"Merchant not found")</f>
        <v>food_delivery</v>
      </c>
      <c r="L494" t="str">
        <f>_xlfn.IFNA(VLOOKUP(C494,merchants!$A$2:$D$41,4,FALSE),"Merchant not found")</f>
        <v>South</v>
      </c>
      <c r="M494" s="2">
        <f>HLOOKUP(G494,Fees!$B$1:$E$2,2,FALSE)</f>
        <v>0.02</v>
      </c>
      <c r="N494" t="str">
        <f>IF(AND(K494&lt;&gt;"East",GETPIVOTDATA("amount_inr",'Daily Totals'!$A$4,"merchant_name",J494,"Days (transaction_time)",TEXT(D494,"dd-mmm"))&gt;5000),"High-Value Merchant Day", "Normal")</f>
        <v>Normal</v>
      </c>
    </row>
    <row r="495" spans="1:14" x14ac:dyDescent="0.3">
      <c r="A495" t="s">
        <v>508</v>
      </c>
      <c r="B495">
        <v>307</v>
      </c>
      <c r="C495">
        <v>21</v>
      </c>
      <c r="D495" s="1">
        <v>46040.109722222223</v>
      </c>
      <c r="E495" s="8">
        <f t="shared" si="7"/>
        <v>46040</v>
      </c>
      <c r="F495">
        <v>799</v>
      </c>
      <c r="G495" t="s">
        <v>12</v>
      </c>
      <c r="H495" t="s">
        <v>10</v>
      </c>
      <c r="I495">
        <v>49</v>
      </c>
      <c r="J495" t="str">
        <f>_xlfn.IFNA(VLOOKUP(C495,merchants!$A$2:$D$41,2,FALSE),"Merchant not found")</f>
        <v>Merchant_021</v>
      </c>
      <c r="K495" t="str">
        <f>_xlfn.IFNA(VLOOKUP(C495,merchants!$A$2:$D$41,3,FALSE),"Merchant not found")</f>
        <v>food_delivery</v>
      </c>
      <c r="L495" t="str">
        <f>_xlfn.IFNA(VLOOKUP(C495,merchants!$A$2:$D$41,4,FALSE),"Merchant not found")</f>
        <v>East</v>
      </c>
      <c r="M495" s="2">
        <f>HLOOKUP(G495,Fees!$B$1:$E$2,2,FALSE)</f>
        <v>0</v>
      </c>
      <c r="N495" t="str">
        <f>IF(AND(K495&lt;&gt;"East",GETPIVOTDATA("amount_inr",'Daily Totals'!$A$4,"merchant_name",J495,"Days (transaction_time)",TEXT(D495,"dd-mmm"))&gt;5000),"High-Value Merchant Day", "Normal")</f>
        <v>Normal</v>
      </c>
    </row>
    <row r="496" spans="1:14" x14ac:dyDescent="0.3">
      <c r="A496" t="s">
        <v>509</v>
      </c>
      <c r="B496">
        <v>199</v>
      </c>
      <c r="C496">
        <v>6</v>
      </c>
      <c r="D496" s="1">
        <v>46023.393055555556</v>
      </c>
      <c r="E496" s="8">
        <f t="shared" si="7"/>
        <v>46023</v>
      </c>
      <c r="F496">
        <v>49</v>
      </c>
      <c r="G496" t="s">
        <v>12</v>
      </c>
      <c r="H496" t="s">
        <v>10</v>
      </c>
      <c r="I496">
        <v>92</v>
      </c>
      <c r="J496" t="str">
        <f>_xlfn.IFNA(VLOOKUP(C496,merchants!$A$2:$D$41,2,FALSE),"Merchant not found")</f>
        <v>Merchant_006</v>
      </c>
      <c r="K496" t="str">
        <f>_xlfn.IFNA(VLOOKUP(C496,merchants!$A$2:$D$41,3,FALSE),"Merchant not found")</f>
        <v>food_delivery</v>
      </c>
      <c r="L496" t="str">
        <f>_xlfn.IFNA(VLOOKUP(C496,merchants!$A$2:$D$41,4,FALSE),"Merchant not found")</f>
        <v>South</v>
      </c>
      <c r="M496" s="2">
        <f>HLOOKUP(G496,Fees!$B$1:$E$2,2,FALSE)</f>
        <v>0</v>
      </c>
      <c r="N496" t="str">
        <f>IF(AND(K496&lt;&gt;"East",GETPIVOTDATA("amount_inr",'Daily Totals'!$A$4,"merchant_name",J496,"Days (transaction_time)",TEXT(D496,"dd-mmm"))&gt;5000),"High-Value Merchant Day", "Normal")</f>
        <v>Normal</v>
      </c>
    </row>
    <row r="497" spans="1:14" x14ac:dyDescent="0.3">
      <c r="A497" t="s">
        <v>510</v>
      </c>
      <c r="B497">
        <v>125</v>
      </c>
      <c r="C497">
        <v>37</v>
      </c>
      <c r="D497" s="1">
        <v>46051.747916666667</v>
      </c>
      <c r="E497" s="8">
        <f t="shared" si="7"/>
        <v>46051</v>
      </c>
      <c r="F497">
        <v>149</v>
      </c>
      <c r="G497" t="s">
        <v>9</v>
      </c>
      <c r="H497" t="s">
        <v>10</v>
      </c>
      <c r="I497">
        <v>66</v>
      </c>
      <c r="J497" t="str">
        <f>_xlfn.IFNA(VLOOKUP(C497,merchants!$A$2:$D$41,2,FALSE),"Merchant not found")</f>
        <v>Merchant_037</v>
      </c>
      <c r="K497" t="str">
        <f>_xlfn.IFNA(VLOOKUP(C497,merchants!$A$2:$D$41,3,FALSE),"Merchant not found")</f>
        <v>entertainment</v>
      </c>
      <c r="L497" t="str">
        <f>_xlfn.IFNA(VLOOKUP(C497,merchants!$A$2:$D$41,4,FALSE),"Merchant not found")</f>
        <v>South</v>
      </c>
      <c r="M497" s="2">
        <f>HLOOKUP(G497,Fees!$B$1:$E$2,2,FALSE)</f>
        <v>1.4999999999999999E-2</v>
      </c>
      <c r="N497" t="str">
        <f>IF(AND(K497&lt;&gt;"East",GETPIVOTDATA("amount_inr",'Daily Totals'!$A$4,"merchant_name",J497,"Days (transaction_time)",TEXT(D497,"dd-mmm"))&gt;5000),"High-Value Merchant Day", "Normal")</f>
        <v>Normal</v>
      </c>
    </row>
    <row r="498" spans="1:14" x14ac:dyDescent="0.3">
      <c r="A498" t="s">
        <v>511</v>
      </c>
      <c r="B498">
        <v>87</v>
      </c>
      <c r="C498">
        <v>9</v>
      </c>
      <c r="D498" s="1">
        <v>46028.89166666667</v>
      </c>
      <c r="E498" s="8">
        <f t="shared" si="7"/>
        <v>46028</v>
      </c>
      <c r="F498">
        <v>149</v>
      </c>
      <c r="G498" t="s">
        <v>12</v>
      </c>
      <c r="H498" t="s">
        <v>10</v>
      </c>
      <c r="I498">
        <v>34</v>
      </c>
      <c r="J498" t="str">
        <f>_xlfn.IFNA(VLOOKUP(C498,merchants!$A$2:$D$41,2,FALSE),"Merchant not found")</f>
        <v>Merchant_009</v>
      </c>
      <c r="K498" t="str">
        <f>_xlfn.IFNA(VLOOKUP(C498,merchants!$A$2:$D$41,3,FALSE),"Merchant not found")</f>
        <v>ecommerce</v>
      </c>
      <c r="L498" t="str">
        <f>_xlfn.IFNA(VLOOKUP(C498,merchants!$A$2:$D$41,4,FALSE),"Merchant not found")</f>
        <v>North</v>
      </c>
      <c r="M498" s="2">
        <f>HLOOKUP(G498,Fees!$B$1:$E$2,2,FALSE)</f>
        <v>0</v>
      </c>
      <c r="N498" t="str">
        <f>IF(AND(K498&lt;&gt;"East",GETPIVOTDATA("amount_inr",'Daily Totals'!$A$4,"merchant_name",J498,"Days (transaction_time)",TEXT(D498,"dd-mmm"))&gt;5000),"High-Value Merchant Day", "Normal")</f>
        <v>Normal</v>
      </c>
    </row>
    <row r="499" spans="1:14" x14ac:dyDescent="0.3">
      <c r="A499" t="s">
        <v>512</v>
      </c>
      <c r="B499">
        <v>75</v>
      </c>
      <c r="C499">
        <v>5</v>
      </c>
      <c r="D499" s="1">
        <v>46032.354861111111</v>
      </c>
      <c r="E499" s="8">
        <f t="shared" si="7"/>
        <v>46032</v>
      </c>
      <c r="F499">
        <v>99</v>
      </c>
      <c r="G499" t="s">
        <v>12</v>
      </c>
      <c r="H499" t="s">
        <v>10</v>
      </c>
      <c r="I499">
        <v>21</v>
      </c>
      <c r="J499" t="str">
        <f>_xlfn.IFNA(VLOOKUP(C499,merchants!$A$2:$D$41,2,FALSE),"Merchant not found")</f>
        <v>Merchant_005</v>
      </c>
      <c r="K499" t="str">
        <f>_xlfn.IFNA(VLOOKUP(C499,merchants!$A$2:$D$41,3,FALSE),"Merchant not found")</f>
        <v>recharge</v>
      </c>
      <c r="L499" t="str">
        <f>_xlfn.IFNA(VLOOKUP(C499,merchants!$A$2:$D$41,4,FALSE),"Merchant not found")</f>
        <v>South</v>
      </c>
      <c r="M499" s="2">
        <f>HLOOKUP(G499,Fees!$B$1:$E$2,2,FALSE)</f>
        <v>0</v>
      </c>
      <c r="N499" t="str">
        <f>IF(AND(K499&lt;&gt;"East",GETPIVOTDATA("amount_inr",'Daily Totals'!$A$4,"merchant_name",J499,"Days (transaction_time)",TEXT(D499,"dd-mmm"))&gt;5000),"High-Value Merchant Day", "Normal")</f>
        <v>Normal</v>
      </c>
    </row>
    <row r="500" spans="1:14" x14ac:dyDescent="0.3">
      <c r="A500" t="s">
        <v>513</v>
      </c>
      <c r="B500">
        <v>154</v>
      </c>
      <c r="C500">
        <v>31</v>
      </c>
      <c r="D500" s="1">
        <v>46036.351388888892</v>
      </c>
      <c r="E500" s="8">
        <f t="shared" si="7"/>
        <v>46036</v>
      </c>
      <c r="F500">
        <v>499</v>
      </c>
      <c r="G500" t="s">
        <v>9</v>
      </c>
      <c r="H500" t="s">
        <v>10</v>
      </c>
      <c r="I500">
        <v>100</v>
      </c>
      <c r="J500" t="str">
        <f>_xlfn.IFNA(VLOOKUP(C500,merchants!$A$2:$D$41,2,FALSE),"Merchant not found")</f>
        <v>Merchant_031</v>
      </c>
      <c r="K500" t="str">
        <f>_xlfn.IFNA(VLOOKUP(C500,merchants!$A$2:$D$41,3,FALSE),"Merchant not found")</f>
        <v>bill_payment</v>
      </c>
      <c r="L500" t="str">
        <f>_xlfn.IFNA(VLOOKUP(C500,merchants!$A$2:$D$41,4,FALSE),"Merchant not found")</f>
        <v>East</v>
      </c>
      <c r="M500" s="2">
        <f>HLOOKUP(G500,Fees!$B$1:$E$2,2,FALSE)</f>
        <v>1.4999999999999999E-2</v>
      </c>
      <c r="N500" t="str">
        <f>IF(AND(K500&lt;&gt;"East",GETPIVOTDATA("amount_inr",'Daily Totals'!$A$4,"merchant_name",J500,"Days (transaction_time)",TEXT(D500,"dd-mmm"))&gt;5000),"High-Value Merchant Day", "Normal")</f>
        <v>Normal</v>
      </c>
    </row>
    <row r="501" spans="1:14" x14ac:dyDescent="0.3">
      <c r="A501" t="s">
        <v>514</v>
      </c>
      <c r="B501">
        <v>127</v>
      </c>
      <c r="C501">
        <v>32</v>
      </c>
      <c r="D501" s="1">
        <v>46025.469444444447</v>
      </c>
      <c r="E501" s="8">
        <f t="shared" si="7"/>
        <v>46025</v>
      </c>
      <c r="F501">
        <v>149</v>
      </c>
      <c r="G501" t="s">
        <v>24</v>
      </c>
      <c r="H501" t="s">
        <v>10</v>
      </c>
      <c r="I501">
        <v>76</v>
      </c>
      <c r="J501" t="str">
        <f>_xlfn.IFNA(VLOOKUP(C501,merchants!$A$2:$D$41,2,FALSE),"Merchant not found")</f>
        <v>Merchant_032</v>
      </c>
      <c r="K501" t="str">
        <f>_xlfn.IFNA(VLOOKUP(C501,merchants!$A$2:$D$41,3,FALSE),"Merchant not found")</f>
        <v>food_delivery</v>
      </c>
      <c r="L501" t="str">
        <f>_xlfn.IFNA(VLOOKUP(C501,merchants!$A$2:$D$41,4,FALSE),"Merchant not found")</f>
        <v>West</v>
      </c>
      <c r="M501" s="2">
        <f>HLOOKUP(G501,Fees!$B$1:$E$2,2,FALSE)</f>
        <v>0.02</v>
      </c>
      <c r="N501" t="str">
        <f>IF(AND(K501&lt;&gt;"East",GETPIVOTDATA("amount_inr",'Daily Totals'!$A$4,"merchant_name",J501,"Days (transaction_time)",TEXT(D501,"dd-mmm"))&gt;5000),"High-Value Merchant Day", "Normal")</f>
        <v>Normal</v>
      </c>
    </row>
    <row r="502" spans="1:14" x14ac:dyDescent="0.3">
      <c r="A502" t="s">
        <v>515</v>
      </c>
      <c r="B502">
        <v>351</v>
      </c>
      <c r="C502">
        <v>7</v>
      </c>
      <c r="D502" s="1">
        <v>46052.25</v>
      </c>
      <c r="E502" s="8">
        <f t="shared" si="7"/>
        <v>46052</v>
      </c>
      <c r="F502">
        <v>1999</v>
      </c>
      <c r="G502" t="s">
        <v>24</v>
      </c>
      <c r="H502" t="s">
        <v>38</v>
      </c>
      <c r="I502">
        <v>79</v>
      </c>
      <c r="J502" t="str">
        <f>_xlfn.IFNA(VLOOKUP(C502,merchants!$A$2:$D$41,2,FALSE),"Merchant not found")</f>
        <v>Merchant_007</v>
      </c>
      <c r="K502" t="str">
        <f>_xlfn.IFNA(VLOOKUP(C502,merchants!$A$2:$D$41,3,FALSE),"Merchant not found")</f>
        <v>food_delivery</v>
      </c>
      <c r="L502" t="str">
        <f>_xlfn.IFNA(VLOOKUP(C502,merchants!$A$2:$D$41,4,FALSE),"Merchant not found")</f>
        <v>East</v>
      </c>
      <c r="M502" s="2">
        <f>HLOOKUP(G502,Fees!$B$1:$E$2,2,FALSE)</f>
        <v>0.02</v>
      </c>
      <c r="N502" t="str">
        <f>IF(AND(K502&lt;&gt;"East",GETPIVOTDATA("amount_inr",'Daily Totals'!$A$4,"merchant_name",J502,"Days (transaction_time)",TEXT(D502,"dd-mmm"))&gt;5000),"High-Value Merchant Day", "Normal")</f>
        <v>Normal</v>
      </c>
    </row>
    <row r="503" spans="1:14" x14ac:dyDescent="0.3">
      <c r="A503" t="s">
        <v>516</v>
      </c>
      <c r="B503">
        <v>352</v>
      </c>
      <c r="C503">
        <v>40</v>
      </c>
      <c r="D503" s="1">
        <v>46033.5</v>
      </c>
      <c r="E503" s="8">
        <f t="shared" si="7"/>
        <v>46033</v>
      </c>
      <c r="F503">
        <v>4999</v>
      </c>
      <c r="G503" t="s">
        <v>24</v>
      </c>
      <c r="H503" t="s">
        <v>38</v>
      </c>
      <c r="I503">
        <v>95</v>
      </c>
      <c r="J503" t="str">
        <f>_xlfn.IFNA(VLOOKUP(C503,merchants!$A$2:$D$41,2,FALSE),"Merchant not found")</f>
        <v>Merchant_040</v>
      </c>
      <c r="K503" t="str">
        <f>_xlfn.IFNA(VLOOKUP(C503,merchants!$A$2:$D$41,3,FALSE),"Merchant not found")</f>
        <v>entertainment</v>
      </c>
      <c r="L503" t="str">
        <f>_xlfn.IFNA(VLOOKUP(C503,merchants!$A$2:$D$41,4,FALSE),"Merchant not found")</f>
        <v>South</v>
      </c>
      <c r="M503" s="2">
        <f>HLOOKUP(G503,Fees!$B$1:$E$2,2,FALSE)</f>
        <v>0.02</v>
      </c>
      <c r="N503" t="str">
        <f>IF(AND(K503&lt;&gt;"East",GETPIVOTDATA("amount_inr",'Daily Totals'!$A$4,"merchant_name",J503,"Days (transaction_time)",TEXT(D503,"dd-mmm"))&gt;5000),"High-Value Merchant Day", "Normal")</f>
        <v>Normal</v>
      </c>
    </row>
    <row r="504" spans="1:14" x14ac:dyDescent="0.3">
      <c r="A504" t="s">
        <v>517</v>
      </c>
      <c r="B504">
        <v>353</v>
      </c>
      <c r="C504">
        <v>28</v>
      </c>
      <c r="D504" s="1">
        <v>46043.583333333336</v>
      </c>
      <c r="E504" s="8">
        <f t="shared" si="7"/>
        <v>46043</v>
      </c>
      <c r="F504">
        <v>1999</v>
      </c>
      <c r="G504" t="s">
        <v>24</v>
      </c>
      <c r="H504" t="s">
        <v>38</v>
      </c>
      <c r="I504">
        <v>79</v>
      </c>
      <c r="J504" t="str">
        <f>_xlfn.IFNA(VLOOKUP(C504,merchants!$A$2:$D$41,2,FALSE),"Merchant not found")</f>
        <v>Merchant_028</v>
      </c>
      <c r="K504" t="str">
        <f>_xlfn.IFNA(VLOOKUP(C504,merchants!$A$2:$D$41,3,FALSE),"Merchant not found")</f>
        <v>ecommerce</v>
      </c>
      <c r="L504" t="str">
        <f>_xlfn.IFNA(VLOOKUP(C504,merchants!$A$2:$D$41,4,FALSE),"Merchant not found")</f>
        <v>South</v>
      </c>
      <c r="M504" s="2">
        <f>HLOOKUP(G504,Fees!$B$1:$E$2,2,FALSE)</f>
        <v>0.02</v>
      </c>
      <c r="N504" t="str">
        <f>IF(AND(K504&lt;&gt;"East",GETPIVOTDATA("amount_inr",'Daily Totals'!$A$4,"merchant_name",J504,"Days (transaction_time)",TEXT(D504,"dd-mmm"))&gt;5000),"High-Value Merchant Day", "Normal")</f>
        <v>Normal</v>
      </c>
    </row>
    <row r="505" spans="1:14" x14ac:dyDescent="0.3">
      <c r="A505" t="s">
        <v>518</v>
      </c>
      <c r="B505">
        <v>354</v>
      </c>
      <c r="C505">
        <v>13</v>
      </c>
      <c r="D505" s="1">
        <v>46043.791666666664</v>
      </c>
      <c r="E505" s="8">
        <f t="shared" si="7"/>
        <v>46043</v>
      </c>
      <c r="F505">
        <v>4999</v>
      </c>
      <c r="G505" t="s">
        <v>24</v>
      </c>
      <c r="H505" t="s">
        <v>38</v>
      </c>
      <c r="I505">
        <v>80</v>
      </c>
      <c r="J505" t="str">
        <f>_xlfn.IFNA(VLOOKUP(C505,merchants!$A$2:$D$41,2,FALSE),"Merchant not found")</f>
        <v>Merchant_013</v>
      </c>
      <c r="K505" t="str">
        <f>_xlfn.IFNA(VLOOKUP(C505,merchants!$A$2:$D$41,3,FALSE),"Merchant not found")</f>
        <v>travel</v>
      </c>
      <c r="L505" t="str">
        <f>_xlfn.IFNA(VLOOKUP(C505,merchants!$A$2:$D$41,4,FALSE),"Merchant not found")</f>
        <v>East</v>
      </c>
      <c r="M505" s="2">
        <f>HLOOKUP(G505,Fees!$B$1:$E$2,2,FALSE)</f>
        <v>0.02</v>
      </c>
      <c r="N505" t="str">
        <f>IF(AND(K505&lt;&gt;"East",GETPIVOTDATA("amount_inr",'Daily Totals'!$A$4,"merchant_name",J505,"Days (transaction_time)",TEXT(D505,"dd-mmm"))&gt;5000),"High-Value Merchant Day", "Normal")</f>
        <v>Normal</v>
      </c>
    </row>
    <row r="506" spans="1:14" x14ac:dyDescent="0.3">
      <c r="A506" t="s">
        <v>519</v>
      </c>
      <c r="B506">
        <v>355</v>
      </c>
      <c r="C506">
        <v>19</v>
      </c>
      <c r="D506" s="1">
        <v>46038.5</v>
      </c>
      <c r="E506" s="8">
        <f t="shared" si="7"/>
        <v>46038</v>
      </c>
      <c r="F506">
        <v>4999</v>
      </c>
      <c r="G506" t="s">
        <v>24</v>
      </c>
      <c r="H506" t="s">
        <v>38</v>
      </c>
      <c r="I506">
        <v>100</v>
      </c>
      <c r="J506" t="str">
        <f>_xlfn.IFNA(VLOOKUP(C506,merchants!$A$2:$D$41,2,FALSE),"Merchant not found")</f>
        <v>Merchant_019</v>
      </c>
      <c r="K506" t="str">
        <f>_xlfn.IFNA(VLOOKUP(C506,merchants!$A$2:$D$41,3,FALSE),"Merchant not found")</f>
        <v>grocery</v>
      </c>
      <c r="L506" t="str">
        <f>_xlfn.IFNA(VLOOKUP(C506,merchants!$A$2:$D$41,4,FALSE),"Merchant not found")</f>
        <v>North</v>
      </c>
      <c r="M506" s="2">
        <f>HLOOKUP(G506,Fees!$B$1:$E$2,2,FALSE)</f>
        <v>0.02</v>
      </c>
      <c r="N506" t="str">
        <f>IF(AND(K506&lt;&gt;"East",GETPIVOTDATA("amount_inr",'Daily Totals'!$A$4,"merchant_name",J506,"Days (transaction_time)",TEXT(D506,"dd-mmm"))&gt;5000),"High-Value Merchant Day", "Normal")</f>
        <v>Normal</v>
      </c>
    </row>
    <row r="507" spans="1:14" x14ac:dyDescent="0.3">
      <c r="A507" t="s">
        <v>520</v>
      </c>
      <c r="B507">
        <v>356</v>
      </c>
      <c r="C507">
        <v>25</v>
      </c>
      <c r="D507" s="1">
        <v>46051.291666666664</v>
      </c>
      <c r="E507" s="8">
        <f t="shared" si="7"/>
        <v>46051</v>
      </c>
      <c r="F507">
        <v>2999</v>
      </c>
      <c r="G507" t="s">
        <v>24</v>
      </c>
      <c r="H507" t="s">
        <v>38</v>
      </c>
      <c r="I507">
        <v>96</v>
      </c>
      <c r="J507" t="str">
        <f>_xlfn.IFNA(VLOOKUP(C507,merchants!$A$2:$D$41,2,FALSE),"Merchant not found")</f>
        <v>Merchant_025</v>
      </c>
      <c r="K507" t="str">
        <f>_xlfn.IFNA(VLOOKUP(C507,merchants!$A$2:$D$41,3,FALSE),"Merchant not found")</f>
        <v>travel</v>
      </c>
      <c r="L507" t="str">
        <f>_xlfn.IFNA(VLOOKUP(C507,merchants!$A$2:$D$41,4,FALSE),"Merchant not found")</f>
        <v>South</v>
      </c>
      <c r="M507" s="2">
        <f>HLOOKUP(G507,Fees!$B$1:$E$2,2,FALSE)</f>
        <v>0.02</v>
      </c>
      <c r="N507" t="str">
        <f>IF(AND(K507&lt;&gt;"East",GETPIVOTDATA("amount_inr",'Daily Totals'!$A$4,"merchant_name",J507,"Days (transaction_time)",TEXT(D507,"dd-mmm"))&gt;5000),"High-Value Merchant Day", "Normal")</f>
        <v>Normal</v>
      </c>
    </row>
    <row r="508" spans="1:14" x14ac:dyDescent="0.3">
      <c r="A508" t="s">
        <v>521</v>
      </c>
      <c r="B508">
        <v>357</v>
      </c>
      <c r="C508">
        <v>37</v>
      </c>
      <c r="D508" s="1">
        <v>46045.458333333336</v>
      </c>
      <c r="E508" s="8">
        <f t="shared" si="7"/>
        <v>46045</v>
      </c>
      <c r="F508">
        <v>1999</v>
      </c>
      <c r="G508" t="s">
        <v>24</v>
      </c>
      <c r="H508" t="s">
        <v>38</v>
      </c>
      <c r="I508">
        <v>88</v>
      </c>
      <c r="J508" t="str">
        <f>_xlfn.IFNA(VLOOKUP(C508,merchants!$A$2:$D$41,2,FALSE),"Merchant not found")</f>
        <v>Merchant_037</v>
      </c>
      <c r="K508" t="str">
        <f>_xlfn.IFNA(VLOOKUP(C508,merchants!$A$2:$D$41,3,FALSE),"Merchant not found")</f>
        <v>entertainment</v>
      </c>
      <c r="L508" t="str">
        <f>_xlfn.IFNA(VLOOKUP(C508,merchants!$A$2:$D$41,4,FALSE),"Merchant not found")</f>
        <v>South</v>
      </c>
      <c r="M508" s="2">
        <f>HLOOKUP(G508,Fees!$B$1:$E$2,2,FALSE)</f>
        <v>0.02</v>
      </c>
      <c r="N508" t="str">
        <f>IF(AND(K508&lt;&gt;"East",GETPIVOTDATA("amount_inr",'Daily Totals'!$A$4,"merchant_name",J508,"Days (transaction_time)",TEXT(D508,"dd-mmm"))&gt;5000),"High-Value Merchant Day", "Normal")</f>
        <v>Normal</v>
      </c>
    </row>
    <row r="509" spans="1:14" x14ac:dyDescent="0.3">
      <c r="A509" t="s">
        <v>522</v>
      </c>
      <c r="B509">
        <v>358</v>
      </c>
      <c r="C509">
        <v>36</v>
      </c>
      <c r="D509" s="1">
        <v>46050.208333333336</v>
      </c>
      <c r="E509" s="8">
        <f t="shared" si="7"/>
        <v>46050</v>
      </c>
      <c r="F509">
        <v>999</v>
      </c>
      <c r="G509" t="s">
        <v>24</v>
      </c>
      <c r="H509" t="s">
        <v>38</v>
      </c>
      <c r="I509">
        <v>100</v>
      </c>
      <c r="J509" t="str">
        <f>_xlfn.IFNA(VLOOKUP(C509,merchants!$A$2:$D$41,2,FALSE),"Merchant not found")</f>
        <v>Merchant_036</v>
      </c>
      <c r="K509" t="str">
        <f>_xlfn.IFNA(VLOOKUP(C509,merchants!$A$2:$D$41,3,FALSE),"Merchant not found")</f>
        <v>entertainment</v>
      </c>
      <c r="L509" t="str">
        <f>_xlfn.IFNA(VLOOKUP(C509,merchants!$A$2:$D$41,4,FALSE),"Merchant not found")</f>
        <v>East</v>
      </c>
      <c r="M509" s="2">
        <f>HLOOKUP(G509,Fees!$B$1:$E$2,2,FALSE)</f>
        <v>0.02</v>
      </c>
      <c r="N509" t="str">
        <f>IF(AND(K509&lt;&gt;"East",GETPIVOTDATA("amount_inr",'Daily Totals'!$A$4,"merchant_name",J509,"Days (transaction_time)",TEXT(D509,"dd-mmm"))&gt;5000),"High-Value Merchant Day", "Normal")</f>
        <v>Normal</v>
      </c>
    </row>
    <row r="510" spans="1:14" x14ac:dyDescent="0.3">
      <c r="A510" t="s">
        <v>523</v>
      </c>
      <c r="B510">
        <v>359</v>
      </c>
      <c r="C510">
        <v>29</v>
      </c>
      <c r="D510" s="1">
        <v>46047.916666666664</v>
      </c>
      <c r="E510" s="8">
        <f t="shared" si="7"/>
        <v>46047</v>
      </c>
      <c r="F510">
        <v>2999</v>
      </c>
      <c r="G510" t="s">
        <v>24</v>
      </c>
      <c r="H510" t="s">
        <v>38</v>
      </c>
      <c r="I510">
        <v>96</v>
      </c>
      <c r="J510" t="str">
        <f>_xlfn.IFNA(VLOOKUP(C510,merchants!$A$2:$D$41,2,FALSE),"Merchant not found")</f>
        <v>Merchant_029</v>
      </c>
      <c r="K510" t="str">
        <f>_xlfn.IFNA(VLOOKUP(C510,merchants!$A$2:$D$41,3,FALSE),"Merchant not found")</f>
        <v>ecommerce</v>
      </c>
      <c r="L510" t="str">
        <f>_xlfn.IFNA(VLOOKUP(C510,merchants!$A$2:$D$41,4,FALSE),"Merchant not found")</f>
        <v>North</v>
      </c>
      <c r="M510" s="2">
        <f>HLOOKUP(G510,Fees!$B$1:$E$2,2,FALSE)</f>
        <v>0.02</v>
      </c>
      <c r="N510" t="str">
        <f>IF(AND(K510&lt;&gt;"East",GETPIVOTDATA("amount_inr",'Daily Totals'!$A$4,"merchant_name",J510,"Days (transaction_time)",TEXT(D510,"dd-mmm"))&gt;5000),"High-Value Merchant Day", "Normal")</f>
        <v>Normal</v>
      </c>
    </row>
    <row r="511" spans="1:14" x14ac:dyDescent="0.3">
      <c r="A511" t="s">
        <v>524</v>
      </c>
      <c r="B511">
        <v>360</v>
      </c>
      <c r="C511">
        <v>32</v>
      </c>
      <c r="D511" s="1">
        <v>46035.541666666664</v>
      </c>
      <c r="E511" s="8">
        <f t="shared" si="7"/>
        <v>46035</v>
      </c>
      <c r="F511">
        <v>1999</v>
      </c>
      <c r="G511" t="s">
        <v>24</v>
      </c>
      <c r="H511" t="s">
        <v>38</v>
      </c>
      <c r="I511">
        <v>90</v>
      </c>
      <c r="J511" t="str">
        <f>_xlfn.IFNA(VLOOKUP(C511,merchants!$A$2:$D$41,2,FALSE),"Merchant not found")</f>
        <v>Merchant_032</v>
      </c>
      <c r="K511" t="str">
        <f>_xlfn.IFNA(VLOOKUP(C511,merchants!$A$2:$D$41,3,FALSE),"Merchant not found")</f>
        <v>food_delivery</v>
      </c>
      <c r="L511" t="str">
        <f>_xlfn.IFNA(VLOOKUP(C511,merchants!$A$2:$D$41,4,FALSE),"Merchant not found")</f>
        <v>West</v>
      </c>
      <c r="M511" s="2">
        <f>HLOOKUP(G511,Fees!$B$1:$E$2,2,FALSE)</f>
        <v>0.02</v>
      </c>
      <c r="N511" t="str">
        <f>IF(AND(K511&lt;&gt;"East",GETPIVOTDATA("amount_inr",'Daily Totals'!$A$4,"merchant_name",J511,"Days (transaction_time)",TEXT(D511,"dd-mmm"))&gt;5000),"High-Value Merchant Day", "Normal")</f>
        <v>Normal</v>
      </c>
    </row>
    <row r="512" spans="1:14" x14ac:dyDescent="0.3">
      <c r="A512" t="s">
        <v>525</v>
      </c>
      <c r="B512">
        <v>361</v>
      </c>
      <c r="C512">
        <v>10</v>
      </c>
      <c r="D512" s="1">
        <v>46042.291666666664</v>
      </c>
      <c r="E512" s="8">
        <f t="shared" si="7"/>
        <v>46042</v>
      </c>
      <c r="F512">
        <v>4999</v>
      </c>
      <c r="G512" t="s">
        <v>24</v>
      </c>
      <c r="H512" t="s">
        <v>38</v>
      </c>
      <c r="I512">
        <v>95</v>
      </c>
      <c r="J512" t="str">
        <f>_xlfn.IFNA(VLOOKUP(C512,merchants!$A$2:$D$41,2,FALSE),"Merchant not found")</f>
        <v>Merchant_010</v>
      </c>
      <c r="K512" t="str">
        <f>_xlfn.IFNA(VLOOKUP(C512,merchants!$A$2:$D$41,3,FALSE),"Merchant not found")</f>
        <v>grocery</v>
      </c>
      <c r="L512" t="str">
        <f>_xlfn.IFNA(VLOOKUP(C512,merchants!$A$2:$D$41,4,FALSE),"Merchant not found")</f>
        <v>West</v>
      </c>
      <c r="M512" s="2">
        <f>HLOOKUP(G512,Fees!$B$1:$E$2,2,FALSE)</f>
        <v>0.02</v>
      </c>
      <c r="N512" t="str">
        <f>IF(AND(K512&lt;&gt;"East",GETPIVOTDATA("amount_inr",'Daily Totals'!$A$4,"merchant_name",J512,"Days (transaction_time)",TEXT(D512,"dd-mmm"))&gt;5000),"High-Value Merchant Day", "Normal")</f>
        <v>Normal</v>
      </c>
    </row>
    <row r="513" spans="1:14" x14ac:dyDescent="0.3">
      <c r="A513" t="s">
        <v>526</v>
      </c>
      <c r="B513">
        <v>362</v>
      </c>
      <c r="C513">
        <v>39</v>
      </c>
      <c r="D513" s="1">
        <v>46045.083333333336</v>
      </c>
      <c r="E513" s="8">
        <f t="shared" si="7"/>
        <v>46045</v>
      </c>
      <c r="F513">
        <v>4999</v>
      </c>
      <c r="G513" t="s">
        <v>24</v>
      </c>
      <c r="H513" t="s">
        <v>38</v>
      </c>
      <c r="I513">
        <v>88</v>
      </c>
      <c r="J513" t="str">
        <f>_xlfn.IFNA(VLOOKUP(C513,merchants!$A$2:$D$41,2,FALSE),"Merchant not found")</f>
        <v>Merchant_039</v>
      </c>
      <c r="K513" t="str">
        <f>_xlfn.IFNA(VLOOKUP(C513,merchants!$A$2:$D$41,3,FALSE),"Merchant not found")</f>
        <v>entertainment</v>
      </c>
      <c r="L513" t="str">
        <f>_xlfn.IFNA(VLOOKUP(C513,merchants!$A$2:$D$41,4,FALSE),"Merchant not found")</f>
        <v>North</v>
      </c>
      <c r="M513" s="2">
        <f>HLOOKUP(G513,Fees!$B$1:$E$2,2,FALSE)</f>
        <v>0.02</v>
      </c>
      <c r="N513" t="str">
        <f>IF(AND(K513&lt;&gt;"East",GETPIVOTDATA("amount_inr",'Daily Totals'!$A$4,"merchant_name",J513,"Days (transaction_time)",TEXT(D513,"dd-mmm"))&gt;5000),"High-Value Merchant Day", "Normal")</f>
        <v>Normal</v>
      </c>
    </row>
    <row r="514" spans="1:14" x14ac:dyDescent="0.3">
      <c r="A514" t="s">
        <v>527</v>
      </c>
      <c r="B514">
        <v>363</v>
      </c>
      <c r="C514">
        <v>27</v>
      </c>
      <c r="D514" s="1">
        <v>46045.708333333336</v>
      </c>
      <c r="E514" s="8">
        <f t="shared" si="7"/>
        <v>46045</v>
      </c>
      <c r="F514">
        <v>999</v>
      </c>
      <c r="G514" t="s">
        <v>24</v>
      </c>
      <c r="H514" t="s">
        <v>38</v>
      </c>
      <c r="I514">
        <v>95</v>
      </c>
      <c r="J514" t="str">
        <f>_xlfn.IFNA(VLOOKUP(C514,merchants!$A$2:$D$41,2,FALSE),"Merchant not found")</f>
        <v>Merchant_027</v>
      </c>
      <c r="K514" t="str">
        <f>_xlfn.IFNA(VLOOKUP(C514,merchants!$A$2:$D$41,3,FALSE),"Merchant not found")</f>
        <v>ecommerce</v>
      </c>
      <c r="L514" t="str">
        <f>_xlfn.IFNA(VLOOKUP(C514,merchants!$A$2:$D$41,4,FALSE),"Merchant not found")</f>
        <v>North</v>
      </c>
      <c r="M514" s="2">
        <f>HLOOKUP(G514,Fees!$B$1:$E$2,2,FALSE)</f>
        <v>0.02</v>
      </c>
      <c r="N514" t="str">
        <f>IF(AND(K514&lt;&gt;"East",GETPIVOTDATA("amount_inr",'Daily Totals'!$A$4,"merchant_name",J514,"Days (transaction_time)",TEXT(D514,"dd-mmm"))&gt;5000),"High-Value Merchant Day", "Normal")</f>
        <v>Normal</v>
      </c>
    </row>
    <row r="515" spans="1:14" x14ac:dyDescent="0.3">
      <c r="A515" t="s">
        <v>528</v>
      </c>
      <c r="B515">
        <v>364</v>
      </c>
      <c r="C515">
        <v>39</v>
      </c>
      <c r="D515" s="1">
        <v>46044.916666666664</v>
      </c>
      <c r="E515" s="8">
        <f t="shared" ref="E515:E548" si="8">INT(D515)</f>
        <v>46044</v>
      </c>
      <c r="F515">
        <v>999</v>
      </c>
      <c r="G515" t="s">
        <v>24</v>
      </c>
      <c r="H515" t="s">
        <v>38</v>
      </c>
      <c r="I515">
        <v>73</v>
      </c>
      <c r="J515" t="str">
        <f>_xlfn.IFNA(VLOOKUP(C515,merchants!$A$2:$D$41,2,FALSE),"Merchant not found")</f>
        <v>Merchant_039</v>
      </c>
      <c r="K515" t="str">
        <f>_xlfn.IFNA(VLOOKUP(C515,merchants!$A$2:$D$41,3,FALSE),"Merchant not found")</f>
        <v>entertainment</v>
      </c>
      <c r="L515" t="str">
        <f>_xlfn.IFNA(VLOOKUP(C515,merchants!$A$2:$D$41,4,FALSE),"Merchant not found")</f>
        <v>North</v>
      </c>
      <c r="M515" s="2">
        <f>HLOOKUP(G515,Fees!$B$1:$E$2,2,FALSE)</f>
        <v>0.02</v>
      </c>
      <c r="N515" t="str">
        <f>IF(AND(K515&lt;&gt;"East",GETPIVOTDATA("amount_inr",'Daily Totals'!$A$4,"merchant_name",J515,"Days (transaction_time)",TEXT(D515,"dd-mmm"))&gt;5000),"High-Value Merchant Day", "Normal")</f>
        <v>High-Value Merchant Day</v>
      </c>
    </row>
    <row r="516" spans="1:14" x14ac:dyDescent="0.3">
      <c r="A516" t="s">
        <v>529</v>
      </c>
      <c r="B516">
        <v>365</v>
      </c>
      <c r="C516">
        <v>23</v>
      </c>
      <c r="D516" s="1">
        <v>46040.875</v>
      </c>
      <c r="E516" s="8">
        <f t="shared" si="8"/>
        <v>46040</v>
      </c>
      <c r="F516">
        <v>1999</v>
      </c>
      <c r="G516" t="s">
        <v>24</v>
      </c>
      <c r="H516" t="s">
        <v>38</v>
      </c>
      <c r="I516">
        <v>90</v>
      </c>
      <c r="J516" t="str">
        <f>_xlfn.IFNA(VLOOKUP(C516,merchants!$A$2:$D$41,2,FALSE),"Merchant not found")</f>
        <v>Merchant_023</v>
      </c>
      <c r="K516" t="str">
        <f>_xlfn.IFNA(VLOOKUP(C516,merchants!$A$2:$D$41,3,FALSE),"Merchant not found")</f>
        <v>travel</v>
      </c>
      <c r="L516" t="str">
        <f>_xlfn.IFNA(VLOOKUP(C516,merchants!$A$2:$D$41,4,FALSE),"Merchant not found")</f>
        <v>North</v>
      </c>
      <c r="M516" s="2">
        <f>HLOOKUP(G516,Fees!$B$1:$E$2,2,FALSE)</f>
        <v>0.02</v>
      </c>
      <c r="N516" t="str">
        <f>IF(AND(K516&lt;&gt;"East",GETPIVOTDATA("amount_inr",'Daily Totals'!$A$4,"merchant_name",J516,"Days (transaction_time)",TEXT(D516,"dd-mmm"))&gt;5000),"High-Value Merchant Day", "Normal")</f>
        <v>Normal</v>
      </c>
    </row>
    <row r="517" spans="1:14" x14ac:dyDescent="0.3">
      <c r="A517" t="s">
        <v>530</v>
      </c>
      <c r="B517">
        <v>314</v>
      </c>
      <c r="C517">
        <v>26</v>
      </c>
      <c r="D517" s="1">
        <v>46024.75</v>
      </c>
      <c r="E517" s="8">
        <f t="shared" si="8"/>
        <v>46024</v>
      </c>
      <c r="F517">
        <v>399</v>
      </c>
      <c r="G517" t="s">
        <v>24</v>
      </c>
      <c r="H517" t="s">
        <v>25</v>
      </c>
      <c r="I517">
        <v>87</v>
      </c>
      <c r="J517" t="str">
        <f>_xlfn.IFNA(VLOOKUP(C517,merchants!$A$2:$D$41,2,FALSE),"Merchant not found")</f>
        <v>Merchant_026</v>
      </c>
      <c r="K517" t="str">
        <f>_xlfn.IFNA(VLOOKUP(C517,merchants!$A$2:$D$41,3,FALSE),"Merchant not found")</f>
        <v>food_delivery</v>
      </c>
      <c r="L517" t="str">
        <f>_xlfn.IFNA(VLOOKUP(C517,merchants!$A$2:$D$41,4,FALSE),"Merchant not found")</f>
        <v>East</v>
      </c>
      <c r="M517" s="2">
        <f>HLOOKUP(G517,Fees!$B$1:$E$2,2,FALSE)</f>
        <v>0.02</v>
      </c>
      <c r="N517" t="str">
        <f>IF(AND(K517&lt;&gt;"East",GETPIVOTDATA("amount_inr",'Daily Totals'!$A$4,"merchant_name",J517,"Days (transaction_time)",TEXT(D517,"dd-mmm"))&gt;5000),"High-Value Merchant Day", "Normal")</f>
        <v>Normal</v>
      </c>
    </row>
    <row r="518" spans="1:14" x14ac:dyDescent="0.3">
      <c r="A518" t="s">
        <v>531</v>
      </c>
      <c r="B518">
        <v>314</v>
      </c>
      <c r="C518">
        <v>7</v>
      </c>
      <c r="D518" s="1">
        <v>46024.750694444447</v>
      </c>
      <c r="E518" s="8">
        <f t="shared" si="8"/>
        <v>46024</v>
      </c>
      <c r="F518">
        <v>299</v>
      </c>
      <c r="G518" t="s">
        <v>24</v>
      </c>
      <c r="H518" t="s">
        <v>25</v>
      </c>
      <c r="I518">
        <v>66</v>
      </c>
      <c r="J518" t="str">
        <f>_xlfn.IFNA(VLOOKUP(C518,merchants!$A$2:$D$41,2,FALSE),"Merchant not found")</f>
        <v>Merchant_007</v>
      </c>
      <c r="K518" t="str">
        <f>_xlfn.IFNA(VLOOKUP(C518,merchants!$A$2:$D$41,3,FALSE),"Merchant not found")</f>
        <v>food_delivery</v>
      </c>
      <c r="L518" t="str">
        <f>_xlfn.IFNA(VLOOKUP(C518,merchants!$A$2:$D$41,4,FALSE),"Merchant not found")</f>
        <v>East</v>
      </c>
      <c r="M518" s="2">
        <f>HLOOKUP(G518,Fees!$B$1:$E$2,2,FALSE)</f>
        <v>0.02</v>
      </c>
      <c r="N518" t="str">
        <f>IF(AND(K518&lt;&gt;"East",GETPIVOTDATA("amount_inr",'Daily Totals'!$A$4,"merchant_name",J518,"Days (transaction_time)",TEXT(D518,"dd-mmm"))&gt;5000),"High-Value Merchant Day", "Normal")</f>
        <v>Normal</v>
      </c>
    </row>
    <row r="519" spans="1:14" x14ac:dyDescent="0.3">
      <c r="A519" t="s">
        <v>532</v>
      </c>
      <c r="B519">
        <v>314</v>
      </c>
      <c r="C519">
        <v>17</v>
      </c>
      <c r="D519" s="1">
        <v>46024.751388888886</v>
      </c>
      <c r="E519" s="8">
        <f t="shared" si="8"/>
        <v>46024</v>
      </c>
      <c r="F519">
        <v>299</v>
      </c>
      <c r="G519" t="s">
        <v>24</v>
      </c>
      <c r="H519" t="s">
        <v>25</v>
      </c>
      <c r="I519">
        <v>92</v>
      </c>
      <c r="J519" t="str">
        <f>_xlfn.IFNA(VLOOKUP(C519,merchants!$A$2:$D$41,2,FALSE),"Merchant not found")</f>
        <v>Merchant_017</v>
      </c>
      <c r="K519" t="str">
        <f>_xlfn.IFNA(VLOOKUP(C519,merchants!$A$2:$D$41,3,FALSE),"Merchant not found")</f>
        <v>grocery</v>
      </c>
      <c r="L519" t="str">
        <f>_xlfn.IFNA(VLOOKUP(C519,merchants!$A$2:$D$41,4,FALSE),"Merchant not found")</f>
        <v>North</v>
      </c>
      <c r="M519" s="2">
        <f>HLOOKUP(G519,Fees!$B$1:$E$2,2,FALSE)</f>
        <v>0.02</v>
      </c>
      <c r="N519" t="str">
        <f>IF(AND(K519&lt;&gt;"East",GETPIVOTDATA("amount_inr",'Daily Totals'!$A$4,"merchant_name",J519,"Days (transaction_time)",TEXT(D519,"dd-mmm"))&gt;5000),"High-Value Merchant Day", "Normal")</f>
        <v>Normal</v>
      </c>
    </row>
    <row r="520" spans="1:14" x14ac:dyDescent="0.3">
      <c r="A520" t="s">
        <v>533</v>
      </c>
      <c r="B520">
        <v>314</v>
      </c>
      <c r="C520">
        <v>34</v>
      </c>
      <c r="D520" s="1">
        <v>46024.752083333333</v>
      </c>
      <c r="E520" s="8">
        <f t="shared" si="8"/>
        <v>46024</v>
      </c>
      <c r="F520">
        <v>499</v>
      </c>
      <c r="G520" t="s">
        <v>24</v>
      </c>
      <c r="H520" t="s">
        <v>10</v>
      </c>
      <c r="I520">
        <v>74</v>
      </c>
      <c r="J520" t="str">
        <f>_xlfn.IFNA(VLOOKUP(C520,merchants!$A$2:$D$41,2,FALSE),"Merchant not found")</f>
        <v>Merchant_034</v>
      </c>
      <c r="K520" t="str">
        <f>_xlfn.IFNA(VLOOKUP(C520,merchants!$A$2:$D$41,3,FALSE),"Merchant not found")</f>
        <v>travel</v>
      </c>
      <c r="L520" t="str">
        <f>_xlfn.IFNA(VLOOKUP(C520,merchants!$A$2:$D$41,4,FALSE),"Merchant not found")</f>
        <v>South</v>
      </c>
      <c r="M520" s="2">
        <f>HLOOKUP(G520,Fees!$B$1:$E$2,2,FALSE)</f>
        <v>0.02</v>
      </c>
      <c r="N520" t="str">
        <f>IF(AND(K520&lt;&gt;"East",GETPIVOTDATA("amount_inr",'Daily Totals'!$A$4,"merchant_name",J520,"Days (transaction_time)",TEXT(D520,"dd-mmm"))&gt;5000),"High-Value Merchant Day", "Normal")</f>
        <v>Normal</v>
      </c>
    </row>
    <row r="521" spans="1:14" x14ac:dyDescent="0.3">
      <c r="A521" t="s">
        <v>534</v>
      </c>
      <c r="B521">
        <v>229</v>
      </c>
      <c r="C521">
        <v>30</v>
      </c>
      <c r="D521" s="1">
        <v>46034.5</v>
      </c>
      <c r="E521" s="8">
        <f t="shared" si="8"/>
        <v>46034</v>
      </c>
      <c r="F521">
        <v>499</v>
      </c>
      <c r="G521" t="s">
        <v>24</v>
      </c>
      <c r="H521" t="s">
        <v>25</v>
      </c>
      <c r="I521">
        <v>92</v>
      </c>
      <c r="J521" t="str">
        <f>_xlfn.IFNA(VLOOKUP(C521,merchants!$A$2:$D$41,2,FALSE),"Merchant not found")</f>
        <v>Merchant_030</v>
      </c>
      <c r="K521" t="str">
        <f>_xlfn.IFNA(VLOOKUP(C521,merchants!$A$2:$D$41,3,FALSE),"Merchant not found")</f>
        <v>travel</v>
      </c>
      <c r="L521" t="str">
        <f>_xlfn.IFNA(VLOOKUP(C521,merchants!$A$2:$D$41,4,FALSE),"Merchant not found")</f>
        <v>West</v>
      </c>
      <c r="M521" s="2">
        <f>HLOOKUP(G521,Fees!$B$1:$E$2,2,FALSE)</f>
        <v>0.02</v>
      </c>
      <c r="N521" t="str">
        <f>IF(AND(K521&lt;&gt;"East",GETPIVOTDATA("amount_inr",'Daily Totals'!$A$4,"merchant_name",J521,"Days (transaction_time)",TEXT(D521,"dd-mmm"))&gt;5000),"High-Value Merchant Day", "Normal")</f>
        <v>Normal</v>
      </c>
    </row>
    <row r="522" spans="1:14" x14ac:dyDescent="0.3">
      <c r="A522" t="s">
        <v>535</v>
      </c>
      <c r="B522">
        <v>229</v>
      </c>
      <c r="C522">
        <v>10</v>
      </c>
      <c r="D522" s="1">
        <v>46034.500694444447</v>
      </c>
      <c r="E522" s="8">
        <f t="shared" si="8"/>
        <v>46034</v>
      </c>
      <c r="F522">
        <v>399</v>
      </c>
      <c r="G522" t="s">
        <v>24</v>
      </c>
      <c r="H522" t="s">
        <v>25</v>
      </c>
      <c r="I522">
        <v>61</v>
      </c>
      <c r="J522" t="str">
        <f>_xlfn.IFNA(VLOOKUP(C522,merchants!$A$2:$D$41,2,FALSE),"Merchant not found")</f>
        <v>Merchant_010</v>
      </c>
      <c r="K522" t="str">
        <f>_xlfn.IFNA(VLOOKUP(C522,merchants!$A$2:$D$41,3,FALSE),"Merchant not found")</f>
        <v>grocery</v>
      </c>
      <c r="L522" t="str">
        <f>_xlfn.IFNA(VLOOKUP(C522,merchants!$A$2:$D$41,4,FALSE),"Merchant not found")</f>
        <v>West</v>
      </c>
      <c r="M522" s="2">
        <f>HLOOKUP(G522,Fees!$B$1:$E$2,2,FALSE)</f>
        <v>0.02</v>
      </c>
      <c r="N522" t="str">
        <f>IF(AND(K522&lt;&gt;"East",GETPIVOTDATA("amount_inr",'Daily Totals'!$A$4,"merchant_name",J522,"Days (transaction_time)",TEXT(D522,"dd-mmm"))&gt;5000),"High-Value Merchant Day", "Normal")</f>
        <v>Normal</v>
      </c>
    </row>
    <row r="523" spans="1:14" x14ac:dyDescent="0.3">
      <c r="A523" t="s">
        <v>536</v>
      </c>
      <c r="B523">
        <v>229</v>
      </c>
      <c r="C523">
        <v>31</v>
      </c>
      <c r="D523" s="1">
        <v>46034.501388888886</v>
      </c>
      <c r="E523" s="8">
        <f t="shared" si="8"/>
        <v>46034</v>
      </c>
      <c r="F523">
        <v>299</v>
      </c>
      <c r="G523" t="s">
        <v>24</v>
      </c>
      <c r="H523" t="s">
        <v>25</v>
      </c>
      <c r="I523">
        <v>78</v>
      </c>
      <c r="J523" t="str">
        <f>_xlfn.IFNA(VLOOKUP(C523,merchants!$A$2:$D$41,2,FALSE),"Merchant not found")</f>
        <v>Merchant_031</v>
      </c>
      <c r="K523" t="str">
        <f>_xlfn.IFNA(VLOOKUP(C523,merchants!$A$2:$D$41,3,FALSE),"Merchant not found")</f>
        <v>bill_payment</v>
      </c>
      <c r="L523" t="str">
        <f>_xlfn.IFNA(VLOOKUP(C523,merchants!$A$2:$D$41,4,FALSE),"Merchant not found")</f>
        <v>East</v>
      </c>
      <c r="M523" s="2">
        <f>HLOOKUP(G523,Fees!$B$1:$E$2,2,FALSE)</f>
        <v>0.02</v>
      </c>
      <c r="N523" t="str">
        <f>IF(AND(K523&lt;&gt;"East",GETPIVOTDATA("amount_inr",'Daily Totals'!$A$4,"merchant_name",J523,"Days (transaction_time)",TEXT(D523,"dd-mmm"))&gt;5000),"High-Value Merchant Day", "Normal")</f>
        <v>Normal</v>
      </c>
    </row>
    <row r="524" spans="1:14" x14ac:dyDescent="0.3">
      <c r="A524" t="s">
        <v>537</v>
      </c>
      <c r="B524">
        <v>229</v>
      </c>
      <c r="C524">
        <v>27</v>
      </c>
      <c r="D524" s="1">
        <v>46034.502083333333</v>
      </c>
      <c r="E524" s="8">
        <f t="shared" si="8"/>
        <v>46034</v>
      </c>
      <c r="F524">
        <v>299</v>
      </c>
      <c r="G524" t="s">
        <v>24</v>
      </c>
      <c r="H524" t="s">
        <v>10</v>
      </c>
      <c r="I524">
        <v>67</v>
      </c>
      <c r="J524" t="str">
        <f>_xlfn.IFNA(VLOOKUP(C524,merchants!$A$2:$D$41,2,FALSE),"Merchant not found")</f>
        <v>Merchant_027</v>
      </c>
      <c r="K524" t="str">
        <f>_xlfn.IFNA(VLOOKUP(C524,merchants!$A$2:$D$41,3,FALSE),"Merchant not found")</f>
        <v>ecommerce</v>
      </c>
      <c r="L524" t="str">
        <f>_xlfn.IFNA(VLOOKUP(C524,merchants!$A$2:$D$41,4,FALSE),"Merchant not found")</f>
        <v>North</v>
      </c>
      <c r="M524" s="2">
        <f>HLOOKUP(G524,Fees!$B$1:$E$2,2,FALSE)</f>
        <v>0.02</v>
      </c>
      <c r="N524" t="str">
        <f>IF(AND(K524&lt;&gt;"East",GETPIVOTDATA("amount_inr",'Daily Totals'!$A$4,"merchant_name",J524,"Days (transaction_time)",TEXT(D524,"dd-mmm"))&gt;5000),"High-Value Merchant Day", "Normal")</f>
        <v>Normal</v>
      </c>
    </row>
    <row r="525" spans="1:14" x14ac:dyDescent="0.3">
      <c r="A525" t="s">
        <v>538</v>
      </c>
      <c r="B525">
        <v>73</v>
      </c>
      <c r="C525">
        <v>22</v>
      </c>
      <c r="D525" s="1">
        <v>46034.375</v>
      </c>
      <c r="E525" s="8">
        <f t="shared" si="8"/>
        <v>46034</v>
      </c>
      <c r="F525">
        <v>399</v>
      </c>
      <c r="G525" t="s">
        <v>24</v>
      </c>
      <c r="H525" t="s">
        <v>25</v>
      </c>
      <c r="I525">
        <v>73</v>
      </c>
      <c r="J525" t="str">
        <f>_xlfn.IFNA(VLOOKUP(C525,merchants!$A$2:$D$41,2,FALSE),"Merchant not found")</f>
        <v>Merchant_022</v>
      </c>
      <c r="K525" t="str">
        <f>_xlfn.IFNA(VLOOKUP(C525,merchants!$A$2:$D$41,3,FALSE),"Merchant not found")</f>
        <v>travel</v>
      </c>
      <c r="L525" t="str">
        <f>_xlfn.IFNA(VLOOKUP(C525,merchants!$A$2:$D$41,4,FALSE),"Merchant not found")</f>
        <v>South</v>
      </c>
      <c r="M525" s="2">
        <f>HLOOKUP(G525,Fees!$B$1:$E$2,2,FALSE)</f>
        <v>0.02</v>
      </c>
      <c r="N525" t="str">
        <f>IF(AND(K525&lt;&gt;"East",GETPIVOTDATA("amount_inr",'Daily Totals'!$A$4,"merchant_name",J525,"Days (transaction_time)",TEXT(D525,"dd-mmm"))&gt;5000),"High-Value Merchant Day", "Normal")</f>
        <v>Normal</v>
      </c>
    </row>
    <row r="526" spans="1:14" x14ac:dyDescent="0.3">
      <c r="A526" t="s">
        <v>539</v>
      </c>
      <c r="B526">
        <v>73</v>
      </c>
      <c r="C526">
        <v>34</v>
      </c>
      <c r="D526" s="1">
        <v>46034.375694444447</v>
      </c>
      <c r="E526" s="8">
        <f t="shared" si="8"/>
        <v>46034</v>
      </c>
      <c r="F526">
        <v>399</v>
      </c>
      <c r="G526" t="s">
        <v>24</v>
      </c>
      <c r="H526" t="s">
        <v>25</v>
      </c>
      <c r="I526">
        <v>82</v>
      </c>
      <c r="J526" t="str">
        <f>_xlfn.IFNA(VLOOKUP(C526,merchants!$A$2:$D$41,2,FALSE),"Merchant not found")</f>
        <v>Merchant_034</v>
      </c>
      <c r="K526" t="str">
        <f>_xlfn.IFNA(VLOOKUP(C526,merchants!$A$2:$D$41,3,FALSE),"Merchant not found")</f>
        <v>travel</v>
      </c>
      <c r="L526" t="str">
        <f>_xlfn.IFNA(VLOOKUP(C526,merchants!$A$2:$D$41,4,FALSE),"Merchant not found")</f>
        <v>South</v>
      </c>
      <c r="M526" s="2">
        <f>HLOOKUP(G526,Fees!$B$1:$E$2,2,FALSE)</f>
        <v>0.02</v>
      </c>
      <c r="N526" t="str">
        <f>IF(AND(K526&lt;&gt;"East",GETPIVOTDATA("amount_inr",'Daily Totals'!$A$4,"merchant_name",J526,"Days (transaction_time)",TEXT(D526,"dd-mmm"))&gt;5000),"High-Value Merchant Day", "Normal")</f>
        <v>Normal</v>
      </c>
    </row>
    <row r="527" spans="1:14" x14ac:dyDescent="0.3">
      <c r="A527" t="s">
        <v>540</v>
      </c>
      <c r="B527">
        <v>73</v>
      </c>
      <c r="C527">
        <v>31</v>
      </c>
      <c r="D527" s="1">
        <v>46034.376388888886</v>
      </c>
      <c r="E527" s="8">
        <f t="shared" si="8"/>
        <v>46034</v>
      </c>
      <c r="F527">
        <v>299</v>
      </c>
      <c r="G527" t="s">
        <v>24</v>
      </c>
      <c r="H527" t="s">
        <v>25</v>
      </c>
      <c r="I527">
        <v>88</v>
      </c>
      <c r="J527" t="str">
        <f>_xlfn.IFNA(VLOOKUP(C527,merchants!$A$2:$D$41,2,FALSE),"Merchant not found")</f>
        <v>Merchant_031</v>
      </c>
      <c r="K527" t="str">
        <f>_xlfn.IFNA(VLOOKUP(C527,merchants!$A$2:$D$41,3,FALSE),"Merchant not found")</f>
        <v>bill_payment</v>
      </c>
      <c r="L527" t="str">
        <f>_xlfn.IFNA(VLOOKUP(C527,merchants!$A$2:$D$41,4,FALSE),"Merchant not found")</f>
        <v>East</v>
      </c>
      <c r="M527" s="2">
        <f>HLOOKUP(G527,Fees!$B$1:$E$2,2,FALSE)</f>
        <v>0.02</v>
      </c>
      <c r="N527" t="str">
        <f>IF(AND(K527&lt;&gt;"East",GETPIVOTDATA("amount_inr",'Daily Totals'!$A$4,"merchant_name",J527,"Days (transaction_time)",TEXT(D527,"dd-mmm"))&gt;5000),"High-Value Merchant Day", "Normal")</f>
        <v>Normal</v>
      </c>
    </row>
    <row r="528" spans="1:14" x14ac:dyDescent="0.3">
      <c r="A528" t="s">
        <v>541</v>
      </c>
      <c r="B528">
        <v>73</v>
      </c>
      <c r="C528">
        <v>29</v>
      </c>
      <c r="D528" s="1">
        <v>46034.377083333333</v>
      </c>
      <c r="E528" s="8">
        <f t="shared" si="8"/>
        <v>46034</v>
      </c>
      <c r="F528">
        <v>399</v>
      </c>
      <c r="G528" t="s">
        <v>24</v>
      </c>
      <c r="H528" t="s">
        <v>10</v>
      </c>
      <c r="I528">
        <v>64</v>
      </c>
      <c r="J528" t="str">
        <f>_xlfn.IFNA(VLOOKUP(C528,merchants!$A$2:$D$41,2,FALSE),"Merchant not found")</f>
        <v>Merchant_029</v>
      </c>
      <c r="K528" t="str">
        <f>_xlfn.IFNA(VLOOKUP(C528,merchants!$A$2:$D$41,3,FALSE),"Merchant not found")</f>
        <v>ecommerce</v>
      </c>
      <c r="L528" t="str">
        <f>_xlfn.IFNA(VLOOKUP(C528,merchants!$A$2:$D$41,4,FALSE),"Merchant not found")</f>
        <v>North</v>
      </c>
      <c r="M528" s="2">
        <f>HLOOKUP(G528,Fees!$B$1:$E$2,2,FALSE)</f>
        <v>0.02</v>
      </c>
      <c r="N528" t="str">
        <f>IF(AND(K528&lt;&gt;"East",GETPIVOTDATA("amount_inr",'Daily Totals'!$A$4,"merchant_name",J528,"Days (transaction_time)",TEXT(D528,"dd-mmm"))&gt;5000),"High-Value Merchant Day", "Normal")</f>
        <v>Normal</v>
      </c>
    </row>
    <row r="529" spans="1:14" x14ac:dyDescent="0.3">
      <c r="A529" t="s">
        <v>542</v>
      </c>
      <c r="B529">
        <v>154</v>
      </c>
      <c r="C529">
        <v>8</v>
      </c>
      <c r="D529" s="1">
        <v>46024.916666666664</v>
      </c>
      <c r="E529" s="8">
        <f t="shared" si="8"/>
        <v>46024</v>
      </c>
      <c r="F529">
        <v>299</v>
      </c>
      <c r="G529" t="s">
        <v>24</v>
      </c>
      <c r="H529" t="s">
        <v>25</v>
      </c>
      <c r="I529">
        <v>81</v>
      </c>
      <c r="J529" t="str">
        <f>_xlfn.IFNA(VLOOKUP(C529,merchants!$A$2:$D$41,2,FALSE),"Merchant not found")</f>
        <v>Merchant_008</v>
      </c>
      <c r="K529" t="str">
        <f>_xlfn.IFNA(VLOOKUP(C529,merchants!$A$2:$D$41,3,FALSE),"Merchant not found")</f>
        <v>food_delivery</v>
      </c>
      <c r="L529" t="str">
        <f>_xlfn.IFNA(VLOOKUP(C529,merchants!$A$2:$D$41,4,FALSE),"Merchant not found")</f>
        <v>North</v>
      </c>
      <c r="M529" s="2">
        <f>HLOOKUP(G529,Fees!$B$1:$E$2,2,FALSE)</f>
        <v>0.02</v>
      </c>
      <c r="N529" t="str">
        <f>IF(AND(K529&lt;&gt;"East",GETPIVOTDATA("amount_inr",'Daily Totals'!$A$4,"merchant_name",J529,"Days (transaction_time)",TEXT(D529,"dd-mmm"))&gt;5000),"High-Value Merchant Day", "Normal")</f>
        <v>Normal</v>
      </c>
    </row>
    <row r="530" spans="1:14" x14ac:dyDescent="0.3">
      <c r="A530" t="s">
        <v>543</v>
      </c>
      <c r="B530">
        <v>154</v>
      </c>
      <c r="C530">
        <v>7</v>
      </c>
      <c r="D530" s="1">
        <v>46024.917361111111</v>
      </c>
      <c r="E530" s="8">
        <f t="shared" si="8"/>
        <v>46024</v>
      </c>
      <c r="F530">
        <v>499</v>
      </c>
      <c r="G530" t="s">
        <v>24</v>
      </c>
      <c r="H530" t="s">
        <v>25</v>
      </c>
      <c r="I530">
        <v>70</v>
      </c>
      <c r="J530" t="str">
        <f>_xlfn.IFNA(VLOOKUP(C530,merchants!$A$2:$D$41,2,FALSE),"Merchant not found")</f>
        <v>Merchant_007</v>
      </c>
      <c r="K530" t="str">
        <f>_xlfn.IFNA(VLOOKUP(C530,merchants!$A$2:$D$41,3,FALSE),"Merchant not found")</f>
        <v>food_delivery</v>
      </c>
      <c r="L530" t="str">
        <f>_xlfn.IFNA(VLOOKUP(C530,merchants!$A$2:$D$41,4,FALSE),"Merchant not found")</f>
        <v>East</v>
      </c>
      <c r="M530" s="2">
        <f>HLOOKUP(G530,Fees!$B$1:$E$2,2,FALSE)</f>
        <v>0.02</v>
      </c>
      <c r="N530" t="str">
        <f>IF(AND(K530&lt;&gt;"East",GETPIVOTDATA("amount_inr",'Daily Totals'!$A$4,"merchant_name",J530,"Days (transaction_time)",TEXT(D530,"dd-mmm"))&gt;5000),"High-Value Merchant Day", "Normal")</f>
        <v>Normal</v>
      </c>
    </row>
    <row r="531" spans="1:14" x14ac:dyDescent="0.3">
      <c r="A531" t="s">
        <v>544</v>
      </c>
      <c r="B531">
        <v>154</v>
      </c>
      <c r="C531">
        <v>16</v>
      </c>
      <c r="D531" s="1">
        <v>46024.918055555558</v>
      </c>
      <c r="E531" s="8">
        <f t="shared" si="8"/>
        <v>46024</v>
      </c>
      <c r="F531">
        <v>499</v>
      </c>
      <c r="G531" t="s">
        <v>24</v>
      </c>
      <c r="H531" t="s">
        <v>25</v>
      </c>
      <c r="I531">
        <v>71</v>
      </c>
      <c r="J531" t="str">
        <f>_xlfn.IFNA(VLOOKUP(C531,merchants!$A$2:$D$41,2,FALSE),"Merchant not found")</f>
        <v>Merchant_016</v>
      </c>
      <c r="K531" t="str">
        <f>_xlfn.IFNA(VLOOKUP(C531,merchants!$A$2:$D$41,3,FALSE),"Merchant not found")</f>
        <v>bill_payment</v>
      </c>
      <c r="L531" t="str">
        <f>_xlfn.IFNA(VLOOKUP(C531,merchants!$A$2:$D$41,4,FALSE),"Merchant not found")</f>
        <v>West</v>
      </c>
      <c r="M531" s="2">
        <f>HLOOKUP(G531,Fees!$B$1:$E$2,2,FALSE)</f>
        <v>0.02</v>
      </c>
      <c r="N531" t="str">
        <f>IF(AND(K531&lt;&gt;"East",GETPIVOTDATA("amount_inr",'Daily Totals'!$A$4,"merchant_name",J531,"Days (transaction_time)",TEXT(D531,"dd-mmm"))&gt;5000),"High-Value Merchant Day", "Normal")</f>
        <v>Normal</v>
      </c>
    </row>
    <row r="532" spans="1:14" x14ac:dyDescent="0.3">
      <c r="A532" t="s">
        <v>545</v>
      </c>
      <c r="B532">
        <v>154</v>
      </c>
      <c r="C532">
        <v>36</v>
      </c>
      <c r="D532" s="1">
        <v>46024.918749999997</v>
      </c>
      <c r="E532" s="8">
        <f t="shared" si="8"/>
        <v>46024</v>
      </c>
      <c r="F532">
        <v>299</v>
      </c>
      <c r="G532" t="s">
        <v>24</v>
      </c>
      <c r="H532" t="s">
        <v>10</v>
      </c>
      <c r="I532">
        <v>81</v>
      </c>
      <c r="J532" t="str">
        <f>_xlfn.IFNA(VLOOKUP(C532,merchants!$A$2:$D$41,2,FALSE),"Merchant not found")</f>
        <v>Merchant_036</v>
      </c>
      <c r="K532" t="str">
        <f>_xlfn.IFNA(VLOOKUP(C532,merchants!$A$2:$D$41,3,FALSE),"Merchant not found")</f>
        <v>entertainment</v>
      </c>
      <c r="L532" t="str">
        <f>_xlfn.IFNA(VLOOKUP(C532,merchants!$A$2:$D$41,4,FALSE),"Merchant not found")</f>
        <v>East</v>
      </c>
      <c r="M532" s="2">
        <f>HLOOKUP(G532,Fees!$B$1:$E$2,2,FALSE)</f>
        <v>0.02</v>
      </c>
      <c r="N532" t="str">
        <f>IF(AND(K532&lt;&gt;"East",GETPIVOTDATA("amount_inr",'Daily Totals'!$A$4,"merchant_name",J532,"Days (transaction_time)",TEXT(D532,"dd-mmm"))&gt;5000),"High-Value Merchant Day", "Normal")</f>
        <v>Normal</v>
      </c>
    </row>
    <row r="533" spans="1:14" x14ac:dyDescent="0.3">
      <c r="A533" t="s">
        <v>546</v>
      </c>
      <c r="B533">
        <v>287</v>
      </c>
      <c r="C533">
        <v>15</v>
      </c>
      <c r="D533" s="1">
        <v>46036.583333333336</v>
      </c>
      <c r="E533" s="8">
        <f t="shared" si="8"/>
        <v>46036</v>
      </c>
      <c r="F533">
        <v>399</v>
      </c>
      <c r="G533" t="s">
        <v>24</v>
      </c>
      <c r="H533" t="s">
        <v>25</v>
      </c>
      <c r="I533">
        <v>71</v>
      </c>
      <c r="J533" t="str">
        <f>_xlfn.IFNA(VLOOKUP(C533,merchants!$A$2:$D$41,2,FALSE),"Merchant not found")</f>
        <v>Merchant_015</v>
      </c>
      <c r="K533" t="str">
        <f>_xlfn.IFNA(VLOOKUP(C533,merchants!$A$2:$D$41,3,FALSE),"Merchant not found")</f>
        <v>travel</v>
      </c>
      <c r="L533" t="str">
        <f>_xlfn.IFNA(VLOOKUP(C533,merchants!$A$2:$D$41,4,FALSE),"Merchant not found")</f>
        <v>North</v>
      </c>
      <c r="M533" s="2">
        <f>HLOOKUP(G533,Fees!$B$1:$E$2,2,FALSE)</f>
        <v>0.02</v>
      </c>
      <c r="N533" t="str">
        <f>IF(AND(K533&lt;&gt;"East",GETPIVOTDATA("amount_inr",'Daily Totals'!$A$4,"merchant_name",J533,"Days (transaction_time)",TEXT(D533,"dd-mmm"))&gt;5000),"High-Value Merchant Day", "Normal")</f>
        <v>Normal</v>
      </c>
    </row>
    <row r="534" spans="1:14" x14ac:dyDescent="0.3">
      <c r="A534" t="s">
        <v>547</v>
      </c>
      <c r="B534">
        <v>287</v>
      </c>
      <c r="C534">
        <v>12</v>
      </c>
      <c r="D534" s="1">
        <v>46036.584027777775</v>
      </c>
      <c r="E534" s="8">
        <f t="shared" si="8"/>
        <v>46036</v>
      </c>
      <c r="F534">
        <v>499</v>
      </c>
      <c r="G534" t="s">
        <v>24</v>
      </c>
      <c r="H534" t="s">
        <v>25</v>
      </c>
      <c r="I534">
        <v>87</v>
      </c>
      <c r="J534" t="str">
        <f>_xlfn.IFNA(VLOOKUP(C534,merchants!$A$2:$D$41,2,FALSE),"Merchant not found")</f>
        <v>Merchant_012</v>
      </c>
      <c r="K534" t="str">
        <f>_xlfn.IFNA(VLOOKUP(C534,merchants!$A$2:$D$41,3,FALSE),"Merchant not found")</f>
        <v>ecommerce</v>
      </c>
      <c r="L534" t="str">
        <f>_xlfn.IFNA(VLOOKUP(C534,merchants!$A$2:$D$41,4,FALSE),"Merchant not found")</f>
        <v>East</v>
      </c>
      <c r="M534" s="2">
        <f>HLOOKUP(G534,Fees!$B$1:$E$2,2,FALSE)</f>
        <v>0.02</v>
      </c>
      <c r="N534" t="str">
        <f>IF(AND(K534&lt;&gt;"East",GETPIVOTDATA("amount_inr",'Daily Totals'!$A$4,"merchant_name",J534,"Days (transaction_time)",TEXT(D534,"dd-mmm"))&gt;5000),"High-Value Merchant Day", "Normal")</f>
        <v>Normal</v>
      </c>
    </row>
    <row r="535" spans="1:14" x14ac:dyDescent="0.3">
      <c r="A535" t="s">
        <v>548</v>
      </c>
      <c r="B535">
        <v>287</v>
      </c>
      <c r="C535">
        <v>26</v>
      </c>
      <c r="D535" s="1">
        <v>46036.584722222222</v>
      </c>
      <c r="E535" s="8">
        <f t="shared" si="8"/>
        <v>46036</v>
      </c>
      <c r="F535">
        <v>299</v>
      </c>
      <c r="G535" t="s">
        <v>24</v>
      </c>
      <c r="H535" t="s">
        <v>25</v>
      </c>
      <c r="I535">
        <v>72</v>
      </c>
      <c r="J535" t="str">
        <f>_xlfn.IFNA(VLOOKUP(C535,merchants!$A$2:$D$41,2,FALSE),"Merchant not found")</f>
        <v>Merchant_026</v>
      </c>
      <c r="K535" t="str">
        <f>_xlfn.IFNA(VLOOKUP(C535,merchants!$A$2:$D$41,3,FALSE),"Merchant not found")</f>
        <v>food_delivery</v>
      </c>
      <c r="L535" t="str">
        <f>_xlfn.IFNA(VLOOKUP(C535,merchants!$A$2:$D$41,4,FALSE),"Merchant not found")</f>
        <v>East</v>
      </c>
      <c r="M535" s="2">
        <f>HLOOKUP(G535,Fees!$B$1:$E$2,2,FALSE)</f>
        <v>0.02</v>
      </c>
      <c r="N535" t="str">
        <f>IF(AND(K535&lt;&gt;"East",GETPIVOTDATA("amount_inr",'Daily Totals'!$A$4,"merchant_name",J535,"Days (transaction_time)",TEXT(D535,"dd-mmm"))&gt;5000),"High-Value Merchant Day", "Normal")</f>
        <v>Normal</v>
      </c>
    </row>
    <row r="536" spans="1:14" x14ac:dyDescent="0.3">
      <c r="A536" t="s">
        <v>549</v>
      </c>
      <c r="B536">
        <v>287</v>
      </c>
      <c r="C536">
        <v>29</v>
      </c>
      <c r="D536" s="1">
        <v>46036.585416666669</v>
      </c>
      <c r="E536" s="8">
        <f t="shared" si="8"/>
        <v>46036</v>
      </c>
      <c r="F536">
        <v>499</v>
      </c>
      <c r="G536" t="s">
        <v>24</v>
      </c>
      <c r="H536" t="s">
        <v>10</v>
      </c>
      <c r="I536">
        <v>87</v>
      </c>
      <c r="J536" t="str">
        <f>_xlfn.IFNA(VLOOKUP(C536,merchants!$A$2:$D$41,2,FALSE),"Merchant not found")</f>
        <v>Merchant_029</v>
      </c>
      <c r="K536" t="str">
        <f>_xlfn.IFNA(VLOOKUP(C536,merchants!$A$2:$D$41,3,FALSE),"Merchant not found")</f>
        <v>ecommerce</v>
      </c>
      <c r="L536" t="str">
        <f>_xlfn.IFNA(VLOOKUP(C536,merchants!$A$2:$D$41,4,FALSE),"Merchant not found")</f>
        <v>North</v>
      </c>
      <c r="M536" s="2">
        <f>HLOOKUP(G536,Fees!$B$1:$E$2,2,FALSE)</f>
        <v>0.02</v>
      </c>
      <c r="N536" t="str">
        <f>IF(AND(K536&lt;&gt;"East",GETPIVOTDATA("amount_inr",'Daily Totals'!$A$4,"merchant_name",J536,"Days (transaction_time)",TEXT(D536,"dd-mmm"))&gt;5000),"High-Value Merchant Day", "Normal")</f>
        <v>Normal</v>
      </c>
    </row>
    <row r="537" spans="1:14" x14ac:dyDescent="0.3">
      <c r="A537" t="s">
        <v>550</v>
      </c>
      <c r="B537">
        <v>200</v>
      </c>
      <c r="C537">
        <v>14</v>
      </c>
      <c r="D537" s="1">
        <v>46023.916666666664</v>
      </c>
      <c r="E537" s="8">
        <f t="shared" si="8"/>
        <v>46023</v>
      </c>
      <c r="F537">
        <v>299</v>
      </c>
      <c r="G537" t="s">
        <v>24</v>
      </c>
      <c r="H537" t="s">
        <v>25</v>
      </c>
      <c r="I537">
        <v>77</v>
      </c>
      <c r="J537" t="str">
        <f>_xlfn.IFNA(VLOOKUP(C537,merchants!$A$2:$D$41,2,FALSE),"Merchant not found")</f>
        <v>Merchant_014</v>
      </c>
      <c r="K537" t="str">
        <f>_xlfn.IFNA(VLOOKUP(C537,merchants!$A$2:$D$41,3,FALSE),"Merchant not found")</f>
        <v>grocery</v>
      </c>
      <c r="L537" t="str">
        <f>_xlfn.IFNA(VLOOKUP(C537,merchants!$A$2:$D$41,4,FALSE),"Merchant not found")</f>
        <v>East</v>
      </c>
      <c r="M537" s="2">
        <f>HLOOKUP(G537,Fees!$B$1:$E$2,2,FALSE)</f>
        <v>0.02</v>
      </c>
      <c r="N537" t="str">
        <f>IF(AND(K537&lt;&gt;"East",GETPIVOTDATA("amount_inr",'Daily Totals'!$A$4,"merchant_name",J537,"Days (transaction_time)",TEXT(D537,"dd-mmm"))&gt;5000),"High-Value Merchant Day", "Normal")</f>
        <v>Normal</v>
      </c>
    </row>
    <row r="538" spans="1:14" x14ac:dyDescent="0.3">
      <c r="A538" t="s">
        <v>551</v>
      </c>
      <c r="B538">
        <v>200</v>
      </c>
      <c r="C538">
        <v>5</v>
      </c>
      <c r="D538" s="1">
        <v>46023.917361111111</v>
      </c>
      <c r="E538" s="8">
        <f t="shared" si="8"/>
        <v>46023</v>
      </c>
      <c r="F538">
        <v>499</v>
      </c>
      <c r="G538" t="s">
        <v>24</v>
      </c>
      <c r="H538" t="s">
        <v>25</v>
      </c>
      <c r="I538">
        <v>66</v>
      </c>
      <c r="J538" t="str">
        <f>_xlfn.IFNA(VLOOKUP(C538,merchants!$A$2:$D$41,2,FALSE),"Merchant not found")</f>
        <v>Merchant_005</v>
      </c>
      <c r="K538" t="str">
        <f>_xlfn.IFNA(VLOOKUP(C538,merchants!$A$2:$D$41,3,FALSE),"Merchant not found")</f>
        <v>recharge</v>
      </c>
      <c r="L538" t="str">
        <f>_xlfn.IFNA(VLOOKUP(C538,merchants!$A$2:$D$41,4,FALSE),"Merchant not found")</f>
        <v>South</v>
      </c>
      <c r="M538" s="2">
        <f>HLOOKUP(G538,Fees!$B$1:$E$2,2,FALSE)</f>
        <v>0.02</v>
      </c>
      <c r="N538" t="str">
        <f>IF(AND(K538&lt;&gt;"East",GETPIVOTDATA("amount_inr",'Daily Totals'!$A$4,"merchant_name",J538,"Days (transaction_time)",TEXT(D538,"dd-mmm"))&gt;5000),"High-Value Merchant Day", "Normal")</f>
        <v>Normal</v>
      </c>
    </row>
    <row r="539" spans="1:14" x14ac:dyDescent="0.3">
      <c r="A539" t="s">
        <v>552</v>
      </c>
      <c r="B539">
        <v>200</v>
      </c>
      <c r="C539">
        <v>35</v>
      </c>
      <c r="D539" s="1">
        <v>46023.918055555558</v>
      </c>
      <c r="E539" s="8">
        <f t="shared" si="8"/>
        <v>46023</v>
      </c>
      <c r="F539">
        <v>299</v>
      </c>
      <c r="G539" t="s">
        <v>24</v>
      </c>
      <c r="H539" t="s">
        <v>25</v>
      </c>
      <c r="I539">
        <v>83</v>
      </c>
      <c r="J539" t="str">
        <f>_xlfn.IFNA(VLOOKUP(C539,merchants!$A$2:$D$41,2,FALSE),"Merchant not found")</f>
        <v>Merchant_035</v>
      </c>
      <c r="K539" t="str">
        <f>_xlfn.IFNA(VLOOKUP(C539,merchants!$A$2:$D$41,3,FALSE),"Merchant not found")</f>
        <v>recharge</v>
      </c>
      <c r="L539" t="str">
        <f>_xlfn.IFNA(VLOOKUP(C539,merchants!$A$2:$D$41,4,FALSE),"Merchant not found")</f>
        <v>East</v>
      </c>
      <c r="M539" s="2">
        <f>HLOOKUP(G539,Fees!$B$1:$E$2,2,FALSE)</f>
        <v>0.02</v>
      </c>
      <c r="N539" t="str">
        <f>IF(AND(K539&lt;&gt;"East",GETPIVOTDATA("amount_inr",'Daily Totals'!$A$4,"merchant_name",J539,"Days (transaction_time)",TEXT(D539,"dd-mmm"))&gt;5000),"High-Value Merchant Day", "Normal")</f>
        <v>Normal</v>
      </c>
    </row>
    <row r="540" spans="1:14" x14ac:dyDescent="0.3">
      <c r="A540" t="s">
        <v>553</v>
      </c>
      <c r="B540">
        <v>200</v>
      </c>
      <c r="C540">
        <v>21</v>
      </c>
      <c r="D540" s="1">
        <v>46023.918749999997</v>
      </c>
      <c r="E540" s="8">
        <f t="shared" si="8"/>
        <v>46023</v>
      </c>
      <c r="F540">
        <v>299</v>
      </c>
      <c r="G540" t="s">
        <v>24</v>
      </c>
      <c r="H540" t="s">
        <v>10</v>
      </c>
      <c r="I540">
        <v>89</v>
      </c>
      <c r="J540" t="str">
        <f>_xlfn.IFNA(VLOOKUP(C540,merchants!$A$2:$D$41,2,FALSE),"Merchant not found")</f>
        <v>Merchant_021</v>
      </c>
      <c r="K540" t="str">
        <f>_xlfn.IFNA(VLOOKUP(C540,merchants!$A$2:$D$41,3,FALSE),"Merchant not found")</f>
        <v>food_delivery</v>
      </c>
      <c r="L540" t="str">
        <f>_xlfn.IFNA(VLOOKUP(C540,merchants!$A$2:$D$41,4,FALSE),"Merchant not found")</f>
        <v>East</v>
      </c>
      <c r="M540" s="2">
        <f>HLOOKUP(G540,Fees!$B$1:$E$2,2,FALSE)</f>
        <v>0.02</v>
      </c>
      <c r="N540" t="str">
        <f>IF(AND(K540&lt;&gt;"East",GETPIVOTDATA("amount_inr",'Daily Totals'!$A$4,"merchant_name",J540,"Days (transaction_time)",TEXT(D540,"dd-mmm"))&gt;5000),"High-Value Merchant Day", "Normal")</f>
        <v>High-Value Merchant Day</v>
      </c>
    </row>
    <row r="541" spans="1:14" x14ac:dyDescent="0.3">
      <c r="A541" t="s">
        <v>554</v>
      </c>
      <c r="B541">
        <v>59</v>
      </c>
      <c r="C541">
        <v>32</v>
      </c>
      <c r="D541" s="1">
        <v>46031.875</v>
      </c>
      <c r="E541" s="8">
        <f t="shared" si="8"/>
        <v>46031</v>
      </c>
      <c r="F541">
        <v>499</v>
      </c>
      <c r="G541" t="s">
        <v>24</v>
      </c>
      <c r="H541" t="s">
        <v>25</v>
      </c>
      <c r="I541">
        <v>80</v>
      </c>
      <c r="J541" t="str">
        <f>_xlfn.IFNA(VLOOKUP(C541,merchants!$A$2:$D$41,2,FALSE),"Merchant not found")</f>
        <v>Merchant_032</v>
      </c>
      <c r="K541" t="str">
        <f>_xlfn.IFNA(VLOOKUP(C541,merchants!$A$2:$D$41,3,FALSE),"Merchant not found")</f>
        <v>food_delivery</v>
      </c>
      <c r="L541" t="str">
        <f>_xlfn.IFNA(VLOOKUP(C541,merchants!$A$2:$D$41,4,FALSE),"Merchant not found")</f>
        <v>West</v>
      </c>
      <c r="M541" s="2">
        <f>HLOOKUP(G541,Fees!$B$1:$E$2,2,FALSE)</f>
        <v>0.02</v>
      </c>
      <c r="N541" t="str">
        <f>IF(AND(K541&lt;&gt;"East",GETPIVOTDATA("amount_inr",'Daily Totals'!$A$4,"merchant_name",J541,"Days (transaction_time)",TEXT(D541,"dd-mmm"))&gt;5000),"High-Value Merchant Day", "Normal")</f>
        <v>Normal</v>
      </c>
    </row>
    <row r="542" spans="1:14" x14ac:dyDescent="0.3">
      <c r="A542" t="s">
        <v>555</v>
      </c>
      <c r="B542">
        <v>59</v>
      </c>
      <c r="C542">
        <v>39</v>
      </c>
      <c r="D542" s="1">
        <v>46031.875694444447</v>
      </c>
      <c r="E542" s="8">
        <f t="shared" si="8"/>
        <v>46031</v>
      </c>
      <c r="F542">
        <v>399</v>
      </c>
      <c r="G542" t="s">
        <v>24</v>
      </c>
      <c r="H542" t="s">
        <v>25</v>
      </c>
      <c r="I542">
        <v>85</v>
      </c>
      <c r="J542" t="str">
        <f>_xlfn.IFNA(VLOOKUP(C542,merchants!$A$2:$D$41,2,FALSE),"Merchant not found")</f>
        <v>Merchant_039</v>
      </c>
      <c r="K542" t="str">
        <f>_xlfn.IFNA(VLOOKUP(C542,merchants!$A$2:$D$41,3,FALSE),"Merchant not found")</f>
        <v>entertainment</v>
      </c>
      <c r="L542" t="str">
        <f>_xlfn.IFNA(VLOOKUP(C542,merchants!$A$2:$D$41,4,FALSE),"Merchant not found")</f>
        <v>North</v>
      </c>
      <c r="M542" s="2">
        <f>HLOOKUP(G542,Fees!$B$1:$E$2,2,FALSE)</f>
        <v>0.02</v>
      </c>
      <c r="N542" t="str">
        <f>IF(AND(K542&lt;&gt;"East",GETPIVOTDATA("amount_inr",'Daily Totals'!$A$4,"merchant_name",J542,"Days (transaction_time)",TEXT(D542,"dd-mmm"))&gt;5000),"High-Value Merchant Day", "Normal")</f>
        <v>Normal</v>
      </c>
    </row>
    <row r="543" spans="1:14" x14ac:dyDescent="0.3">
      <c r="A543" t="s">
        <v>556</v>
      </c>
      <c r="B543">
        <v>59</v>
      </c>
      <c r="C543">
        <v>38</v>
      </c>
      <c r="D543" s="1">
        <v>46031.876388888886</v>
      </c>
      <c r="E543" s="8">
        <f t="shared" si="8"/>
        <v>46031</v>
      </c>
      <c r="F543">
        <v>299</v>
      </c>
      <c r="G543" t="s">
        <v>24</v>
      </c>
      <c r="H543" t="s">
        <v>25</v>
      </c>
      <c r="I543">
        <v>82</v>
      </c>
      <c r="J543" t="str">
        <f>_xlfn.IFNA(VLOOKUP(C543,merchants!$A$2:$D$41,2,FALSE),"Merchant not found")</f>
        <v>Merchant_038</v>
      </c>
      <c r="K543" t="str">
        <f>_xlfn.IFNA(VLOOKUP(C543,merchants!$A$2:$D$41,3,FALSE),"Merchant not found")</f>
        <v>grocery</v>
      </c>
      <c r="L543" t="str">
        <f>_xlfn.IFNA(VLOOKUP(C543,merchants!$A$2:$D$41,4,FALSE),"Merchant not found")</f>
        <v>East</v>
      </c>
      <c r="M543" s="2">
        <f>HLOOKUP(G543,Fees!$B$1:$E$2,2,FALSE)</f>
        <v>0.02</v>
      </c>
      <c r="N543" t="str">
        <f>IF(AND(K543&lt;&gt;"East",GETPIVOTDATA("amount_inr",'Daily Totals'!$A$4,"merchant_name",J543,"Days (transaction_time)",TEXT(D543,"dd-mmm"))&gt;5000),"High-Value Merchant Day", "Normal")</f>
        <v>Normal</v>
      </c>
    </row>
    <row r="544" spans="1:14" x14ac:dyDescent="0.3">
      <c r="A544" t="s">
        <v>557</v>
      </c>
      <c r="B544">
        <v>59</v>
      </c>
      <c r="C544">
        <v>23</v>
      </c>
      <c r="D544" s="1">
        <v>46031.877083333333</v>
      </c>
      <c r="E544" s="8">
        <f t="shared" si="8"/>
        <v>46031</v>
      </c>
      <c r="F544">
        <v>399</v>
      </c>
      <c r="G544" t="s">
        <v>24</v>
      </c>
      <c r="H544" t="s">
        <v>10</v>
      </c>
      <c r="I544">
        <v>71</v>
      </c>
      <c r="J544" t="str">
        <f>_xlfn.IFNA(VLOOKUP(C544,merchants!$A$2:$D$41,2,FALSE),"Merchant not found")</f>
        <v>Merchant_023</v>
      </c>
      <c r="K544" t="str">
        <f>_xlfn.IFNA(VLOOKUP(C544,merchants!$A$2:$D$41,3,FALSE),"Merchant not found")</f>
        <v>travel</v>
      </c>
      <c r="L544" t="str">
        <f>_xlfn.IFNA(VLOOKUP(C544,merchants!$A$2:$D$41,4,FALSE),"Merchant not found")</f>
        <v>North</v>
      </c>
      <c r="M544" s="2">
        <f>HLOOKUP(G544,Fees!$B$1:$E$2,2,FALSE)</f>
        <v>0.02</v>
      </c>
      <c r="N544" t="str">
        <f>IF(AND(K544&lt;&gt;"East",GETPIVOTDATA("amount_inr",'Daily Totals'!$A$4,"merchant_name",J544,"Days (transaction_time)",TEXT(D544,"dd-mmm"))&gt;5000),"High-Value Merchant Day", "Normal")</f>
        <v>Normal</v>
      </c>
    </row>
    <row r="545" spans="1:14" x14ac:dyDescent="0.3">
      <c r="A545" t="s">
        <v>558</v>
      </c>
      <c r="B545">
        <v>345</v>
      </c>
      <c r="C545">
        <v>40</v>
      </c>
      <c r="D545" s="1">
        <v>46045.375</v>
      </c>
      <c r="E545" s="8">
        <f t="shared" si="8"/>
        <v>46045</v>
      </c>
      <c r="F545">
        <v>499</v>
      </c>
      <c r="G545" t="s">
        <v>24</v>
      </c>
      <c r="H545" t="s">
        <v>25</v>
      </c>
      <c r="I545">
        <v>65</v>
      </c>
      <c r="J545" t="str">
        <f>_xlfn.IFNA(VLOOKUP(C545,merchants!$A$2:$D$41,2,FALSE),"Merchant not found")</f>
        <v>Merchant_040</v>
      </c>
      <c r="K545" t="str">
        <f>_xlfn.IFNA(VLOOKUP(C545,merchants!$A$2:$D$41,3,FALSE),"Merchant not found")</f>
        <v>entertainment</v>
      </c>
      <c r="L545" t="str">
        <f>_xlfn.IFNA(VLOOKUP(C545,merchants!$A$2:$D$41,4,FALSE),"Merchant not found")</f>
        <v>South</v>
      </c>
      <c r="M545" s="2">
        <f>HLOOKUP(G545,Fees!$B$1:$E$2,2,FALSE)</f>
        <v>0.02</v>
      </c>
      <c r="N545" t="str">
        <f>IF(AND(K545&lt;&gt;"East",GETPIVOTDATA("amount_inr",'Daily Totals'!$A$4,"merchant_name",J545,"Days (transaction_time)",TEXT(D545,"dd-mmm"))&gt;5000),"High-Value Merchant Day", "Normal")</f>
        <v>Normal</v>
      </c>
    </row>
    <row r="546" spans="1:14" x14ac:dyDescent="0.3">
      <c r="A546" t="s">
        <v>559</v>
      </c>
      <c r="B546">
        <v>345</v>
      </c>
      <c r="C546">
        <v>9</v>
      </c>
      <c r="D546" s="1">
        <v>46045.375694444447</v>
      </c>
      <c r="E546" s="8">
        <f t="shared" si="8"/>
        <v>46045</v>
      </c>
      <c r="F546">
        <v>399</v>
      </c>
      <c r="G546" t="s">
        <v>24</v>
      </c>
      <c r="H546" t="s">
        <v>25</v>
      </c>
      <c r="I546">
        <v>67</v>
      </c>
      <c r="J546" t="str">
        <f>_xlfn.IFNA(VLOOKUP(C546,merchants!$A$2:$D$41,2,FALSE),"Merchant not found")</f>
        <v>Merchant_009</v>
      </c>
      <c r="K546" t="str">
        <f>_xlfn.IFNA(VLOOKUP(C546,merchants!$A$2:$D$41,3,FALSE),"Merchant not found")</f>
        <v>ecommerce</v>
      </c>
      <c r="L546" t="str">
        <f>_xlfn.IFNA(VLOOKUP(C546,merchants!$A$2:$D$41,4,FALSE),"Merchant not found")</f>
        <v>North</v>
      </c>
      <c r="M546" s="2">
        <f>HLOOKUP(G546,Fees!$B$1:$E$2,2,FALSE)</f>
        <v>0.02</v>
      </c>
      <c r="N546" t="str">
        <f>IF(AND(K546&lt;&gt;"East",GETPIVOTDATA("amount_inr",'Daily Totals'!$A$4,"merchant_name",J546,"Days (transaction_time)",TEXT(D546,"dd-mmm"))&gt;5000),"High-Value Merchant Day", "Normal")</f>
        <v>Normal</v>
      </c>
    </row>
    <row r="547" spans="1:14" x14ac:dyDescent="0.3">
      <c r="A547" t="s">
        <v>560</v>
      </c>
      <c r="B547">
        <v>345</v>
      </c>
      <c r="C547">
        <v>16</v>
      </c>
      <c r="D547" s="1">
        <v>46045.376388888886</v>
      </c>
      <c r="E547" s="8">
        <f t="shared" si="8"/>
        <v>46045</v>
      </c>
      <c r="F547">
        <v>399</v>
      </c>
      <c r="G547" t="s">
        <v>24</v>
      </c>
      <c r="H547" t="s">
        <v>25</v>
      </c>
      <c r="I547">
        <v>67</v>
      </c>
      <c r="J547" t="str">
        <f>_xlfn.IFNA(VLOOKUP(C547,merchants!$A$2:$D$41,2,FALSE),"Merchant not found")</f>
        <v>Merchant_016</v>
      </c>
      <c r="K547" t="str">
        <f>_xlfn.IFNA(VLOOKUP(C547,merchants!$A$2:$D$41,3,FALSE),"Merchant not found")</f>
        <v>bill_payment</v>
      </c>
      <c r="L547" t="str">
        <f>_xlfn.IFNA(VLOOKUP(C547,merchants!$A$2:$D$41,4,FALSE),"Merchant not found")</f>
        <v>West</v>
      </c>
      <c r="M547" s="2">
        <f>HLOOKUP(G547,Fees!$B$1:$E$2,2,FALSE)</f>
        <v>0.02</v>
      </c>
      <c r="N547" t="str">
        <f>IF(AND(K547&lt;&gt;"East",GETPIVOTDATA("amount_inr",'Daily Totals'!$A$4,"merchant_name",J547,"Days (transaction_time)",TEXT(D547,"dd-mmm"))&gt;5000),"High-Value Merchant Day", "Normal")</f>
        <v>Normal</v>
      </c>
    </row>
    <row r="548" spans="1:14" x14ac:dyDescent="0.3">
      <c r="A548" t="s">
        <v>561</v>
      </c>
      <c r="B548">
        <v>345</v>
      </c>
      <c r="C548">
        <v>12</v>
      </c>
      <c r="D548" s="1">
        <v>46045.377083333333</v>
      </c>
      <c r="E548" s="8">
        <f t="shared" si="8"/>
        <v>46045</v>
      </c>
      <c r="F548">
        <v>399</v>
      </c>
      <c r="G548" t="s">
        <v>24</v>
      </c>
      <c r="H548" t="s">
        <v>10</v>
      </c>
      <c r="I548">
        <v>69</v>
      </c>
      <c r="J548" t="str">
        <f>_xlfn.IFNA(VLOOKUP(C548,merchants!$A$2:$D$41,2,FALSE),"Merchant not found")</f>
        <v>Merchant_012</v>
      </c>
      <c r="K548" t="str">
        <f>_xlfn.IFNA(VLOOKUP(C548,merchants!$A$2:$D$41,3,FALSE),"Merchant not found")</f>
        <v>ecommerce</v>
      </c>
      <c r="L548" t="str">
        <f>_xlfn.IFNA(VLOOKUP(C548,merchants!$A$2:$D$41,4,FALSE),"Merchant not found")</f>
        <v>East</v>
      </c>
      <c r="M548" s="2">
        <f>HLOOKUP(G548,Fees!$B$1:$E$2,2,FALSE)</f>
        <v>0.02</v>
      </c>
      <c r="N548" t="str">
        <f>IF(AND(K548&lt;&gt;"East",GETPIVOTDATA("amount_inr",'Daily Totals'!$A$4,"merchant_name",J548,"Days (transaction_time)",TEXT(D548,"dd-mmm"))&gt;5000),"High-Value Merchant Day", "Normal")</f>
        <v>Normal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6EE0-9D8F-4A3A-B3E3-99420D2C02BE}">
  <dimension ref="A1:F2"/>
  <sheetViews>
    <sheetView workbookViewId="0">
      <selection activeCell="D3" sqref="D3"/>
    </sheetView>
  </sheetViews>
  <sheetFormatPr defaultRowHeight="14.4" x14ac:dyDescent="0.3"/>
  <cols>
    <col min="1" max="1" width="15" bestFit="1" customWidth="1"/>
    <col min="5" max="5" width="10.21875" bestFit="1" customWidth="1"/>
  </cols>
  <sheetData>
    <row r="1" spans="1:6" x14ac:dyDescent="0.3">
      <c r="A1" t="s">
        <v>617</v>
      </c>
      <c r="B1" t="s">
        <v>12</v>
      </c>
      <c r="C1" t="s">
        <v>9</v>
      </c>
      <c r="D1" t="s">
        <v>24</v>
      </c>
      <c r="E1" t="s">
        <v>15</v>
      </c>
    </row>
    <row r="2" spans="1:6" x14ac:dyDescent="0.3">
      <c r="A2" t="s">
        <v>618</v>
      </c>
      <c r="B2" s="2">
        <v>0</v>
      </c>
      <c r="C2" s="2">
        <v>1.4999999999999999E-2</v>
      </c>
      <c r="D2" s="2">
        <v>0.02</v>
      </c>
      <c r="E2" s="2">
        <v>0.01</v>
      </c>
      <c r="F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ABD5-584C-4541-8B6F-224922CE1F51}">
  <dimension ref="A1:D41"/>
  <sheetViews>
    <sheetView workbookViewId="0">
      <selection activeCell="D13" sqref="D13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2.6640625" bestFit="1" customWidth="1"/>
    <col min="4" max="4" width="6.109375" bestFit="1" customWidth="1"/>
  </cols>
  <sheetData>
    <row r="1" spans="1:4" x14ac:dyDescent="0.3">
      <c r="A1" t="s">
        <v>2</v>
      </c>
      <c r="B1" t="s">
        <v>562</v>
      </c>
      <c r="C1" t="s">
        <v>563</v>
      </c>
      <c r="D1" t="s">
        <v>564</v>
      </c>
    </row>
    <row r="2" spans="1:4" x14ac:dyDescent="0.3">
      <c r="A2">
        <v>1</v>
      </c>
      <c r="B2" t="s">
        <v>565</v>
      </c>
      <c r="C2" t="s">
        <v>566</v>
      </c>
      <c r="D2" t="s">
        <v>567</v>
      </c>
    </row>
    <row r="3" spans="1:4" x14ac:dyDescent="0.3">
      <c r="A3">
        <v>2</v>
      </c>
      <c r="B3" t="s">
        <v>568</v>
      </c>
      <c r="C3" t="s">
        <v>569</v>
      </c>
      <c r="D3" t="s">
        <v>570</v>
      </c>
    </row>
    <row r="4" spans="1:4" x14ac:dyDescent="0.3">
      <c r="A4">
        <v>3</v>
      </c>
      <c r="B4" t="s">
        <v>571</v>
      </c>
      <c r="C4" t="s">
        <v>569</v>
      </c>
      <c r="D4" t="s">
        <v>572</v>
      </c>
    </row>
    <row r="5" spans="1:4" x14ac:dyDescent="0.3">
      <c r="A5">
        <v>4</v>
      </c>
      <c r="B5" t="s">
        <v>573</v>
      </c>
      <c r="C5" t="s">
        <v>566</v>
      </c>
      <c r="D5" t="s">
        <v>572</v>
      </c>
    </row>
    <row r="6" spans="1:4" x14ac:dyDescent="0.3">
      <c r="A6">
        <v>5</v>
      </c>
      <c r="B6" t="s">
        <v>574</v>
      </c>
      <c r="C6" t="s">
        <v>575</v>
      </c>
      <c r="D6" t="s">
        <v>567</v>
      </c>
    </row>
    <row r="7" spans="1:4" x14ac:dyDescent="0.3">
      <c r="A7">
        <v>6</v>
      </c>
      <c r="B7" t="s">
        <v>576</v>
      </c>
      <c r="C7" t="s">
        <v>577</v>
      </c>
      <c r="D7" t="s">
        <v>567</v>
      </c>
    </row>
    <row r="8" spans="1:4" x14ac:dyDescent="0.3">
      <c r="A8">
        <v>7</v>
      </c>
      <c r="B8" t="s">
        <v>578</v>
      </c>
      <c r="C8" t="s">
        <v>577</v>
      </c>
      <c r="D8" t="s">
        <v>572</v>
      </c>
    </row>
    <row r="9" spans="1:4" x14ac:dyDescent="0.3">
      <c r="A9">
        <v>8</v>
      </c>
      <c r="B9" t="s">
        <v>579</v>
      </c>
      <c r="C9" t="s">
        <v>577</v>
      </c>
      <c r="D9" t="s">
        <v>580</v>
      </c>
    </row>
    <row r="10" spans="1:4" x14ac:dyDescent="0.3">
      <c r="A10">
        <v>9</v>
      </c>
      <c r="B10" t="s">
        <v>581</v>
      </c>
      <c r="C10" t="s">
        <v>566</v>
      </c>
      <c r="D10" t="s">
        <v>580</v>
      </c>
    </row>
    <row r="11" spans="1:4" x14ac:dyDescent="0.3">
      <c r="A11">
        <v>10</v>
      </c>
      <c r="B11" t="s">
        <v>582</v>
      </c>
      <c r="C11" t="s">
        <v>569</v>
      </c>
      <c r="D11" t="s">
        <v>570</v>
      </c>
    </row>
    <row r="12" spans="1:4" x14ac:dyDescent="0.3">
      <c r="A12">
        <v>11</v>
      </c>
      <c r="B12" t="s">
        <v>583</v>
      </c>
      <c r="C12" t="s">
        <v>566</v>
      </c>
      <c r="D12" t="s">
        <v>580</v>
      </c>
    </row>
    <row r="13" spans="1:4" x14ac:dyDescent="0.3">
      <c r="A13">
        <v>12</v>
      </c>
      <c r="B13" t="s">
        <v>584</v>
      </c>
      <c r="C13" t="s">
        <v>566</v>
      </c>
      <c r="D13" t="s">
        <v>572</v>
      </c>
    </row>
    <row r="14" spans="1:4" x14ac:dyDescent="0.3">
      <c r="A14">
        <v>13</v>
      </c>
      <c r="B14" t="s">
        <v>585</v>
      </c>
      <c r="C14" t="s">
        <v>586</v>
      </c>
      <c r="D14" t="s">
        <v>572</v>
      </c>
    </row>
    <row r="15" spans="1:4" x14ac:dyDescent="0.3">
      <c r="A15">
        <v>14</v>
      </c>
      <c r="B15" t="s">
        <v>587</v>
      </c>
      <c r="C15" t="s">
        <v>569</v>
      </c>
      <c r="D15" t="s">
        <v>572</v>
      </c>
    </row>
    <row r="16" spans="1:4" x14ac:dyDescent="0.3">
      <c r="A16">
        <v>15</v>
      </c>
      <c r="B16" t="s">
        <v>588</v>
      </c>
      <c r="C16" t="s">
        <v>586</v>
      </c>
      <c r="D16" t="s">
        <v>580</v>
      </c>
    </row>
    <row r="17" spans="1:4" x14ac:dyDescent="0.3">
      <c r="A17">
        <v>16</v>
      </c>
      <c r="B17" t="s">
        <v>589</v>
      </c>
      <c r="C17" t="s">
        <v>590</v>
      </c>
      <c r="D17" t="s">
        <v>570</v>
      </c>
    </row>
    <row r="18" spans="1:4" x14ac:dyDescent="0.3">
      <c r="A18">
        <v>17</v>
      </c>
      <c r="B18" t="s">
        <v>591</v>
      </c>
      <c r="C18" t="s">
        <v>569</v>
      </c>
      <c r="D18" t="s">
        <v>580</v>
      </c>
    </row>
    <row r="19" spans="1:4" x14ac:dyDescent="0.3">
      <c r="A19">
        <v>18</v>
      </c>
      <c r="B19" t="s">
        <v>592</v>
      </c>
      <c r="C19" t="s">
        <v>569</v>
      </c>
      <c r="D19" t="s">
        <v>570</v>
      </c>
    </row>
    <row r="20" spans="1:4" x14ac:dyDescent="0.3">
      <c r="A20">
        <v>19</v>
      </c>
      <c r="B20" t="s">
        <v>593</v>
      </c>
      <c r="C20" t="s">
        <v>569</v>
      </c>
      <c r="D20" t="s">
        <v>580</v>
      </c>
    </row>
    <row r="21" spans="1:4" x14ac:dyDescent="0.3">
      <c r="A21">
        <v>20</v>
      </c>
      <c r="B21" t="s">
        <v>594</v>
      </c>
      <c r="C21" t="s">
        <v>577</v>
      </c>
      <c r="D21" t="s">
        <v>572</v>
      </c>
    </row>
    <row r="22" spans="1:4" x14ac:dyDescent="0.3">
      <c r="A22">
        <v>21</v>
      </c>
      <c r="B22" t="s">
        <v>595</v>
      </c>
      <c r="C22" t="s">
        <v>577</v>
      </c>
      <c r="D22" t="s">
        <v>572</v>
      </c>
    </row>
    <row r="23" spans="1:4" x14ac:dyDescent="0.3">
      <c r="A23">
        <v>22</v>
      </c>
      <c r="B23" t="s">
        <v>596</v>
      </c>
      <c r="C23" t="s">
        <v>586</v>
      </c>
      <c r="D23" t="s">
        <v>567</v>
      </c>
    </row>
    <row r="24" spans="1:4" x14ac:dyDescent="0.3">
      <c r="A24">
        <v>23</v>
      </c>
      <c r="B24" t="s">
        <v>597</v>
      </c>
      <c r="C24" t="s">
        <v>586</v>
      </c>
      <c r="D24" t="s">
        <v>580</v>
      </c>
    </row>
    <row r="25" spans="1:4" x14ac:dyDescent="0.3">
      <c r="A25">
        <v>24</v>
      </c>
      <c r="B25" t="s">
        <v>598</v>
      </c>
      <c r="C25" t="s">
        <v>569</v>
      </c>
      <c r="D25" t="s">
        <v>580</v>
      </c>
    </row>
    <row r="26" spans="1:4" x14ac:dyDescent="0.3">
      <c r="A26">
        <v>25</v>
      </c>
      <c r="B26" t="s">
        <v>599</v>
      </c>
      <c r="C26" t="s">
        <v>586</v>
      </c>
      <c r="D26" t="s">
        <v>567</v>
      </c>
    </row>
    <row r="27" spans="1:4" x14ac:dyDescent="0.3">
      <c r="A27">
        <v>26</v>
      </c>
      <c r="B27" t="s">
        <v>600</v>
      </c>
      <c r="C27" t="s">
        <v>577</v>
      </c>
      <c r="D27" t="s">
        <v>572</v>
      </c>
    </row>
    <row r="28" spans="1:4" x14ac:dyDescent="0.3">
      <c r="A28">
        <v>27</v>
      </c>
      <c r="B28" t="s">
        <v>601</v>
      </c>
      <c r="C28" t="s">
        <v>566</v>
      </c>
      <c r="D28" t="s">
        <v>580</v>
      </c>
    </row>
    <row r="29" spans="1:4" x14ac:dyDescent="0.3">
      <c r="A29">
        <v>28</v>
      </c>
      <c r="B29" t="s">
        <v>602</v>
      </c>
      <c r="C29" t="s">
        <v>566</v>
      </c>
      <c r="D29" t="s">
        <v>567</v>
      </c>
    </row>
    <row r="30" spans="1:4" x14ac:dyDescent="0.3">
      <c r="A30">
        <v>29</v>
      </c>
      <c r="B30" t="s">
        <v>603</v>
      </c>
      <c r="C30" t="s">
        <v>566</v>
      </c>
      <c r="D30" t="s">
        <v>580</v>
      </c>
    </row>
    <row r="31" spans="1:4" x14ac:dyDescent="0.3">
      <c r="A31">
        <v>30</v>
      </c>
      <c r="B31" t="s">
        <v>604</v>
      </c>
      <c r="C31" t="s">
        <v>586</v>
      </c>
      <c r="D31" t="s">
        <v>570</v>
      </c>
    </row>
    <row r="32" spans="1:4" x14ac:dyDescent="0.3">
      <c r="A32">
        <v>31</v>
      </c>
      <c r="B32" t="s">
        <v>605</v>
      </c>
      <c r="C32" t="s">
        <v>590</v>
      </c>
      <c r="D32" t="s">
        <v>572</v>
      </c>
    </row>
    <row r="33" spans="1:4" x14ac:dyDescent="0.3">
      <c r="A33">
        <v>32</v>
      </c>
      <c r="B33" t="s">
        <v>606</v>
      </c>
      <c r="C33" t="s">
        <v>577</v>
      </c>
      <c r="D33" t="s">
        <v>570</v>
      </c>
    </row>
    <row r="34" spans="1:4" x14ac:dyDescent="0.3">
      <c r="A34">
        <v>33</v>
      </c>
      <c r="B34" t="s">
        <v>607</v>
      </c>
      <c r="C34" t="s">
        <v>590</v>
      </c>
      <c r="D34" t="s">
        <v>572</v>
      </c>
    </row>
    <row r="35" spans="1:4" x14ac:dyDescent="0.3">
      <c r="A35">
        <v>34</v>
      </c>
      <c r="B35" t="s">
        <v>608</v>
      </c>
      <c r="C35" t="s">
        <v>586</v>
      </c>
      <c r="D35" t="s">
        <v>567</v>
      </c>
    </row>
    <row r="36" spans="1:4" x14ac:dyDescent="0.3">
      <c r="A36">
        <v>35</v>
      </c>
      <c r="B36" t="s">
        <v>609</v>
      </c>
      <c r="C36" t="s">
        <v>575</v>
      </c>
      <c r="D36" t="s">
        <v>572</v>
      </c>
    </row>
    <row r="37" spans="1:4" x14ac:dyDescent="0.3">
      <c r="A37">
        <v>36</v>
      </c>
      <c r="B37" t="s">
        <v>610</v>
      </c>
      <c r="C37" t="s">
        <v>611</v>
      </c>
      <c r="D37" t="s">
        <v>572</v>
      </c>
    </row>
    <row r="38" spans="1:4" x14ac:dyDescent="0.3">
      <c r="A38">
        <v>37</v>
      </c>
      <c r="B38" t="s">
        <v>612</v>
      </c>
      <c r="C38" t="s">
        <v>611</v>
      </c>
      <c r="D38" t="s">
        <v>567</v>
      </c>
    </row>
    <row r="39" spans="1:4" x14ac:dyDescent="0.3">
      <c r="A39">
        <v>38</v>
      </c>
      <c r="B39" t="s">
        <v>613</v>
      </c>
      <c r="C39" t="s">
        <v>569</v>
      </c>
      <c r="D39" t="s">
        <v>572</v>
      </c>
    </row>
    <row r="40" spans="1:4" x14ac:dyDescent="0.3">
      <c r="A40">
        <v>39</v>
      </c>
      <c r="B40" t="s">
        <v>614</v>
      </c>
      <c r="C40" t="s">
        <v>611</v>
      </c>
      <c r="D40" t="s">
        <v>580</v>
      </c>
    </row>
    <row r="41" spans="1:4" x14ac:dyDescent="0.3">
      <c r="A41">
        <v>40</v>
      </c>
      <c r="B41" t="s">
        <v>615</v>
      </c>
      <c r="C41" t="s">
        <v>611</v>
      </c>
      <c r="D4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Totals</vt:lpstr>
      <vt:lpstr>Merchant Summary</vt:lpstr>
      <vt:lpstr>transactions-views</vt:lpstr>
      <vt:lpstr>Fees</vt:lpstr>
      <vt:lpstr>merchants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Budige</dc:creator>
  <cp:lastModifiedBy>Avinash Budige</cp:lastModifiedBy>
  <dcterms:created xsi:type="dcterms:W3CDTF">2026-08-24T02:15:09Z</dcterms:created>
  <dcterms:modified xsi:type="dcterms:W3CDTF">2026-08-26T03:47:34Z</dcterms:modified>
</cp:coreProperties>
</file>